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правочник" sheetId="1" state="visible" r:id="rId1"/>
    <sheet xmlns:r="http://schemas.openxmlformats.org/officeDocument/2006/relationships" name="Эксперт1" sheetId="2" state="visible" r:id="rId2"/>
    <sheet xmlns:r="http://schemas.openxmlformats.org/officeDocument/2006/relationships" name="Эксперт2" sheetId="3" state="visible" r:id="rId3"/>
    <sheet xmlns:r="http://schemas.openxmlformats.org/officeDocument/2006/relationships" name="Эксперт3" sheetId="4" state="visible" r:id="rId4"/>
    <sheet xmlns:r="http://schemas.openxmlformats.org/officeDocument/2006/relationships" name="Коллективный" sheetId="5" state="visible" r:id="rId5"/>
  </sheets>
  <definedNames/>
  <calcPr calcId="124519" fullCalcOnLoad="1"/>
</workbook>
</file>

<file path=xl/styles.xml><?xml version="1.0" encoding="utf-8"?>
<styleSheet xmlns="http://schemas.openxmlformats.org/spreadsheetml/2006/main">
  <numFmts count="2">
    <numFmt numFmtId="164" formatCode="0.000"/>
    <numFmt numFmtId="165" formatCode="0.0000"/>
  </numFmts>
  <fonts count="3">
    <font>
      <name val="Calibri"/>
      <family val="2"/>
      <color theme="1"/>
      <sz val="11"/>
      <scheme val="minor"/>
    </font>
    <font>
      <b val="1"/>
      <sz val="13"/>
    </font>
    <font>
      <b val="1"/>
    </font>
  </fonts>
  <fills count="5">
    <fill>
      <patternFill/>
    </fill>
    <fill>
      <patternFill patternType="gray125"/>
    </fill>
    <fill>
      <patternFill patternType="solid">
        <fgColor rgb="00E7E6E6"/>
      </patternFill>
    </fill>
    <fill>
      <patternFill patternType="solid">
        <fgColor rgb="00FFF2CC"/>
      </patternFill>
    </fill>
    <fill>
      <patternFill patternType="solid">
        <fgColor rgb="00E2EFD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2" fillId="2" borderId="1" pivotButton="0" quotePrefix="0" xfId="0"/>
    <xf numFmtId="0" fontId="2" fillId="2" borderId="1" applyAlignment="1" pivotButton="0" quotePrefix="0" xfId="0">
      <alignment wrapText="1"/>
    </xf>
    <xf numFmtId="164" fontId="0" fillId="2" borderId="1" pivotButton="0" quotePrefix="0" xfId="0"/>
    <xf numFmtId="164" fontId="0" fillId="3" borderId="1" pivotButton="0" quotePrefix="0" xfId="0"/>
    <xf numFmtId="164" fontId="0" fillId="0" borderId="1" pivotButton="0" quotePrefix="0" xfId="0"/>
    <xf numFmtId="165" fontId="0" fillId="4" borderId="1" pivotButton="0" quotePrefix="0" xfId="0"/>
    <xf numFmtId="164" fontId="0" fillId="4" borderId="1" pivotButton="0" quotePrefix="0" xfId="0"/>
    <xf numFmtId="0" fontId="2" fillId="0" borderId="1" pivotButton="0" quotePrefix="0" xfId="0"/>
    <xf numFmtId="165" fontId="2" fillId="0" borderId="1" pivotButton="0" quotePrefix="0" xfId="0"/>
    <xf numFmtId="165" fontId="0" fillId="0"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8" customWidth="1" min="1" max="1"/>
    <col width="40" customWidth="1" min="2" max="2"/>
    <col width="45" customWidth="1" min="3" max="3"/>
  </cols>
  <sheetData>
    <row r="1">
      <c r="A1" s="1" t="inlineStr">
        <is>
          <t>Справочник: эксперты, альтернативы, критерии</t>
        </is>
      </c>
    </row>
    <row r="2">
      <c r="A2" t="inlineStr">
        <is>
          <t>Названия меняются только здесь, остальные листы ссылаются на них формулами.</t>
        </is>
      </c>
    </row>
    <row r="3">
      <c r="A3" s="2" t="inlineStr">
        <is>
          <t>Эксперты</t>
        </is>
      </c>
    </row>
    <row r="4">
      <c r="A4" s="3" t="inlineStr">
        <is>
          <t>Э1</t>
        </is>
      </c>
      <c r="B4" s="3" t="inlineStr">
        <is>
          <t>Петров Артем</t>
        </is>
      </c>
    </row>
    <row r="5">
      <c r="A5" s="3" t="inlineStr">
        <is>
          <t>Э2</t>
        </is>
      </c>
      <c r="B5" s="3" t="inlineStr">
        <is>
          <t>Попова Полина</t>
        </is>
      </c>
    </row>
    <row r="6">
      <c r="A6" s="3" t="inlineStr">
        <is>
          <t>Э3</t>
        </is>
      </c>
      <c r="B6" s="3" t="inlineStr">
        <is>
          <t>Пауликайте Елона</t>
        </is>
      </c>
    </row>
    <row r="9">
      <c r="A9" s="4" t="inlineStr">
        <is>
          <t>Код</t>
        </is>
      </c>
      <c r="B9" s="4" t="inlineStr">
        <is>
          <t>Альтернатива (кратко)</t>
        </is>
      </c>
      <c r="C9" s="4" t="inlineStr">
        <is>
          <t>Описание</t>
        </is>
      </c>
    </row>
    <row r="10">
      <c r="A10" s="3" t="inlineStr">
        <is>
          <t>A1</t>
        </is>
      </c>
      <c r="B10" s="3" t="inlineStr">
        <is>
          <t>Бронь</t>
        </is>
      </c>
      <c r="C10" s="3" t="inlineStr">
        <is>
          <t>Бронирование переговорных и рабочих мест</t>
        </is>
      </c>
    </row>
    <row r="11">
      <c r="A11" s="3" t="inlineStr">
        <is>
          <t>A2</t>
        </is>
      </c>
      <c r="B11" s="3" t="inlineStr">
        <is>
          <t>Бюджет</t>
        </is>
      </c>
      <c r="C11" s="3" t="inlineStr">
        <is>
          <t>Совместный семейный бюджет</t>
        </is>
      </c>
    </row>
    <row r="12">
      <c r="A12" s="3" t="inlineStr">
        <is>
          <t>A3</t>
        </is>
      </c>
      <c r="B12" s="3" t="inlineStr">
        <is>
          <t>Запись</t>
        </is>
      </c>
      <c r="C12" s="3" t="inlineStr">
        <is>
          <t>Онлайн-запись к мастеру</t>
        </is>
      </c>
    </row>
    <row r="13">
      <c r="A13" s="3" t="inlineStr">
        <is>
          <t>A4</t>
        </is>
      </c>
      <c r="B13" s="3" t="inlineStr">
        <is>
          <t>Привычки</t>
        </is>
      </c>
      <c r="C13" s="3" t="inlineStr">
        <is>
          <t>Трекер привычек с челленджами</t>
        </is>
      </c>
    </row>
    <row r="16">
      <c r="A16" s="4" t="inlineStr">
        <is>
          <t>Код</t>
        </is>
      </c>
      <c r="B16" s="4" t="inlineStr">
        <is>
          <t>Критерий</t>
        </is>
      </c>
      <c r="C16" s="4" t="inlineStr">
        <is>
          <t>Тип (+ польза / - затраты)</t>
        </is>
      </c>
    </row>
    <row r="17">
      <c r="A17" s="3" t="inlineStr">
        <is>
          <t>K1</t>
        </is>
      </c>
      <c r="B17" s="3" t="inlineStr">
        <is>
          <t>Востребованность</t>
        </is>
      </c>
      <c r="C17" s="3" t="inlineStr">
        <is>
          <t>+</t>
        </is>
      </c>
    </row>
    <row r="18">
      <c r="A18" s="3" t="inlineStr">
        <is>
          <t>K2</t>
        </is>
      </c>
      <c r="B18" s="3" t="inlineStr">
        <is>
          <t>Простота реализации MVP</t>
        </is>
      </c>
      <c r="C18" s="3" t="inlineStr">
        <is>
          <t>+</t>
        </is>
      </c>
    </row>
    <row r="19">
      <c r="A19" s="3" t="inlineStr">
        <is>
          <t>K3</t>
        </is>
      </c>
      <c r="B19" s="3" t="inlineStr">
        <is>
          <t>Пригодность для оценки и планирования</t>
        </is>
      </c>
      <c r="C19" s="3" t="inlineStr">
        <is>
          <t>+</t>
        </is>
      </c>
    </row>
    <row r="20">
      <c r="A20" s="3" t="inlineStr">
        <is>
          <t>K4</t>
        </is>
      </c>
      <c r="B20" s="3" t="inlineStr">
        <is>
          <t>Потенциал монетизации</t>
        </is>
      </c>
      <c r="C20" s="3" t="inlineStr">
        <is>
          <t>+</t>
        </is>
      </c>
    </row>
    <row r="21">
      <c r="A21" s="3" t="inlineStr">
        <is>
          <t>K5</t>
        </is>
      </c>
      <c r="B21" s="3" t="inlineStr">
        <is>
          <t>Интерес и экспертиза команды</t>
        </is>
      </c>
      <c r="C21" s="3"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f>"Попарные сравнения, эксперт 1: "&amp;Справочник!$B$4</f>
        <v/>
      </c>
    </row>
    <row r="2">
      <c r="A2" t="inlineStr">
        <is>
          <t>Заполнить желтые ячейки выше диагонали по шкале Саати 1-9. Если элемент строки хуже элемента столбца: =1/3, =1/5 и т.д.</t>
        </is>
      </c>
    </row>
    <row r="4">
      <c r="A4" s="2" t="inlineStr">
        <is>
          <t>Критерии (относительно цели: выбор концепции)</t>
        </is>
      </c>
    </row>
    <row r="5" ht="45" customHeight="1">
      <c r="A5" s="4" t="inlineStr"/>
      <c r="B5" s="5">
        <f>Справочник!$B$17</f>
        <v/>
      </c>
      <c r="C5" s="5">
        <f>Справочник!$B$18</f>
        <v/>
      </c>
      <c r="D5" s="5">
        <f>Справочник!$B$19</f>
        <v/>
      </c>
      <c r="E5" s="5">
        <f>Справочник!$B$20</f>
        <v/>
      </c>
      <c r="F5" s="5">
        <f>Справочник!$B$21</f>
        <v/>
      </c>
      <c r="G5" s="5" t="inlineStr">
        <is>
          <t>Среднее геом. строки</t>
        </is>
      </c>
      <c r="H5" s="5" t="inlineStr">
        <is>
          <t>Вес w</t>
        </is>
      </c>
      <c r="I5" s="5" t="inlineStr">
        <is>
          <t>(A*w)i</t>
        </is>
      </c>
      <c r="J5" s="5" t="inlineStr">
        <is>
          <t>(A*w)i / wi</t>
        </is>
      </c>
    </row>
    <row r="6">
      <c r="A6" s="3">
        <f>Справочник!$B$17</f>
        <v/>
      </c>
      <c r="B6" s="6" t="n">
        <v>1</v>
      </c>
      <c r="C6" s="7">
        <f>1/2</f>
        <v/>
      </c>
      <c r="D6" s="7">
        <f>1/3</f>
        <v/>
      </c>
      <c r="E6" s="7" t="n">
        <v>2</v>
      </c>
      <c r="F6" s="7" t="n">
        <v>1</v>
      </c>
      <c r="G6" s="8">
        <f>IF(COUNT(B6:F6)&lt;5,"",GEOMEAN(B6:F6))</f>
        <v/>
      </c>
      <c r="H6" s="9">
        <f>IFERROR(G6/SUM($G$6:$G$10),"")</f>
        <v/>
      </c>
      <c r="I6" s="8">
        <f>IFERROR(B6*$H$6+C6*$H$7+D6*$H$8+E6*$H$9+F6*$H$10,"")</f>
        <v/>
      </c>
      <c r="J6" s="8">
        <f>IFERROR(I6/H6,"")</f>
        <v/>
      </c>
    </row>
    <row r="7">
      <c r="A7" s="3">
        <f>Справочник!$B$18</f>
        <v/>
      </c>
      <c r="B7" s="8">
        <f>IF(C6="","",1/C6)</f>
        <v/>
      </c>
      <c r="C7" s="6" t="n">
        <v>1</v>
      </c>
      <c r="D7" s="7">
        <f>1/2</f>
        <v/>
      </c>
      <c r="E7" s="7" t="n">
        <v>3</v>
      </c>
      <c r="F7" s="7" t="n">
        <v>2</v>
      </c>
      <c r="G7" s="8">
        <f>IF(COUNT(B7:F7)&lt;5,"",GEOMEAN(B7:F7))</f>
        <v/>
      </c>
      <c r="H7" s="9">
        <f>IFERROR(G7/SUM($G$6:$G$10),"")</f>
        <v/>
      </c>
      <c r="I7" s="8">
        <f>IFERROR(B7*$H$6+C7*$H$7+D7*$H$8+E7*$H$9+F7*$H$10,"")</f>
        <v/>
      </c>
      <c r="J7" s="8">
        <f>IFERROR(I7/H7,"")</f>
        <v/>
      </c>
    </row>
    <row r="8">
      <c r="A8" s="3">
        <f>Справочник!$B$19</f>
        <v/>
      </c>
      <c r="B8" s="8">
        <f>IF(D6="","",1/D6)</f>
        <v/>
      </c>
      <c r="C8" s="8">
        <f>IF(D7="","",1/D7)</f>
        <v/>
      </c>
      <c r="D8" s="6" t="n">
        <v>1</v>
      </c>
      <c r="E8" s="7" t="n">
        <v>5</v>
      </c>
      <c r="F8" s="7" t="n">
        <v>3</v>
      </c>
      <c r="G8" s="8">
        <f>IF(COUNT(B8:F8)&lt;5,"",GEOMEAN(B8:F8))</f>
        <v/>
      </c>
      <c r="H8" s="9">
        <f>IFERROR(G8/SUM($G$6:$G$10),"")</f>
        <v/>
      </c>
      <c r="I8" s="8">
        <f>IFERROR(B8*$H$6+C8*$H$7+D8*$H$8+E8*$H$9+F8*$H$10,"")</f>
        <v/>
      </c>
      <c r="J8" s="8">
        <f>IFERROR(I8/H8,"")</f>
        <v/>
      </c>
    </row>
    <row r="9">
      <c r="A9" s="3">
        <f>Справочник!$B$20</f>
        <v/>
      </c>
      <c r="B9" s="8">
        <f>IF(E6="","",1/E6)</f>
        <v/>
      </c>
      <c r="C9" s="8">
        <f>IF(E7="","",1/E7)</f>
        <v/>
      </c>
      <c r="D9" s="8">
        <f>IF(E8="","",1/E8)</f>
        <v/>
      </c>
      <c r="E9" s="6" t="n">
        <v>1</v>
      </c>
      <c r="F9" s="7">
        <f>1/2</f>
        <v/>
      </c>
      <c r="G9" s="8">
        <f>IF(COUNT(B9:F9)&lt;5,"",GEOMEAN(B9:F9))</f>
        <v/>
      </c>
      <c r="H9" s="9">
        <f>IFERROR(G9/SUM($G$6:$G$10),"")</f>
        <v/>
      </c>
      <c r="I9" s="8">
        <f>IFERROR(B9*$H$6+C9*$H$7+D9*$H$8+E9*$H$9+F9*$H$10,"")</f>
        <v/>
      </c>
      <c r="J9" s="8">
        <f>IFERROR(I9/H9,"")</f>
        <v/>
      </c>
    </row>
    <row r="10">
      <c r="A10" s="3">
        <f>Справочник!$B$21</f>
        <v/>
      </c>
      <c r="B10" s="8">
        <f>IF(F6="","",1/F6)</f>
        <v/>
      </c>
      <c r="C10" s="8">
        <f>IF(F7="","",1/F7)</f>
        <v/>
      </c>
      <c r="D10" s="8">
        <f>IF(F8="","",1/F8)</f>
        <v/>
      </c>
      <c r="E10" s="8">
        <f>IF(F9="","",1/F9)</f>
        <v/>
      </c>
      <c r="F10" s="6" t="n">
        <v>1</v>
      </c>
      <c r="G10" s="8">
        <f>IF(COUNT(B10:F10)&lt;5,"",GEOMEAN(B10:F10))</f>
        <v/>
      </c>
      <c r="H10" s="9">
        <f>IFERROR(G10/SUM($G$6:$G$10),"")</f>
        <v/>
      </c>
      <c r="I10" s="8">
        <f>IFERROR(B10*$H$6+C10*$H$7+D10*$H$8+E10*$H$9+F10*$H$10,"")</f>
        <v/>
      </c>
      <c r="J10" s="8">
        <f>IFERROR(I10/H10,"")</f>
        <v/>
      </c>
    </row>
    <row r="11">
      <c r="A11" s="3" t="inlineStr">
        <is>
          <t>lambda max</t>
        </is>
      </c>
      <c r="B11" s="8">
        <f>IF(COUNT(J6:J10)&lt;5,"",AVERAGE(J6:J10))</f>
        <v/>
      </c>
      <c r="C11" s="3" t="inlineStr">
        <is>
          <t>CI</t>
        </is>
      </c>
      <c r="D11" s="8">
        <f>IFERROR((B11-5)/(5-1),"")</f>
        <v/>
      </c>
      <c r="E11" s="3" t="inlineStr">
        <is>
          <t>CR (RI=1.12)</t>
        </is>
      </c>
      <c r="F11" s="10">
        <f>IFERROR(D11/1.12,"")</f>
        <v/>
      </c>
      <c r="G11">
        <f>IF(F11="","заполните матрицу",IF(F11&lt;=0.1,"согласовано","CR &gt; 0,1: пересмотреть"))</f>
        <v/>
      </c>
    </row>
    <row r="17">
      <c r="A17" s="2">
        <f>"Альтернативы по критерию: "&amp;Справочник!$B$17</f>
        <v/>
      </c>
    </row>
    <row r="18" ht="45" customHeight="1">
      <c r="A18" s="4" t="inlineStr"/>
      <c r="B18" s="5">
        <f>Справочник!$B$10</f>
        <v/>
      </c>
      <c r="C18" s="5">
        <f>Справочник!$B$11</f>
        <v/>
      </c>
      <c r="D18" s="5">
        <f>Справочник!$B$12</f>
        <v/>
      </c>
      <c r="E18" s="5">
        <f>Справочник!$B$13</f>
        <v/>
      </c>
      <c r="F18" s="5" t="inlineStr">
        <is>
          <t>Среднее геом. строки</t>
        </is>
      </c>
      <c r="G18" s="5" t="inlineStr">
        <is>
          <t>Вес w</t>
        </is>
      </c>
      <c r="H18" s="5" t="inlineStr">
        <is>
          <t>(A*w)i</t>
        </is>
      </c>
      <c r="I18" s="5" t="inlineStr">
        <is>
          <t>(A*w)i / wi</t>
        </is>
      </c>
    </row>
    <row r="19">
      <c r="A19" s="3">
        <f>Справочник!$B$10</f>
        <v/>
      </c>
      <c r="B19" s="6" t="n">
        <v>1</v>
      </c>
      <c r="C19" s="7">
        <f>1/2</f>
        <v/>
      </c>
      <c r="D19" s="7">
        <f>1/3</f>
        <v/>
      </c>
      <c r="E19" s="7" t="n">
        <v>1</v>
      </c>
      <c r="F19" s="8">
        <f>IF(COUNT(B19:E19)&lt;4,"",GEOMEAN(B19:E19))</f>
        <v/>
      </c>
      <c r="G19" s="9">
        <f>IFERROR(F19/SUM($F$19:$F$22),"")</f>
        <v/>
      </c>
      <c r="H19" s="8">
        <f>IFERROR(B19*$G$19+C19*$G$20+D19*$G$21+E19*$G$22,"")</f>
        <v/>
      </c>
      <c r="I19" s="8">
        <f>IFERROR(H19/G19,"")</f>
        <v/>
      </c>
    </row>
    <row r="20">
      <c r="A20" s="3">
        <f>Справочник!$B$11</f>
        <v/>
      </c>
      <c r="B20" s="8">
        <f>IF(C19="","",1/C19)</f>
        <v/>
      </c>
      <c r="C20" s="6" t="n">
        <v>1</v>
      </c>
      <c r="D20" s="7">
        <f>1/2</f>
        <v/>
      </c>
      <c r="E20" s="7" t="n">
        <v>2</v>
      </c>
      <c r="F20" s="8">
        <f>IF(COUNT(B20:E20)&lt;4,"",GEOMEAN(B20:E20))</f>
        <v/>
      </c>
      <c r="G20" s="9">
        <f>IFERROR(F20/SUM($F$19:$F$22),"")</f>
        <v/>
      </c>
      <c r="H20" s="8">
        <f>IFERROR(B20*$G$19+C20*$G$20+D20*$G$21+E20*$G$22,"")</f>
        <v/>
      </c>
      <c r="I20" s="8">
        <f>IFERROR(H20/G20,"")</f>
        <v/>
      </c>
    </row>
    <row r="21">
      <c r="A21" s="3">
        <f>Справочник!$B$12</f>
        <v/>
      </c>
      <c r="B21" s="8">
        <f>IF(D19="","",1/D19)</f>
        <v/>
      </c>
      <c r="C21" s="8">
        <f>IF(D20="","",1/D20)</f>
        <v/>
      </c>
      <c r="D21" s="6" t="n">
        <v>1</v>
      </c>
      <c r="E21" s="7" t="n">
        <v>3</v>
      </c>
      <c r="F21" s="8">
        <f>IF(COUNT(B21:E21)&lt;4,"",GEOMEAN(B21:E21))</f>
        <v/>
      </c>
      <c r="G21" s="9">
        <f>IFERROR(F21/SUM($F$19:$F$22),"")</f>
        <v/>
      </c>
      <c r="H21" s="8">
        <f>IFERROR(B21*$G$19+C21*$G$20+D21*$G$21+E21*$G$22,"")</f>
        <v/>
      </c>
      <c r="I21" s="8">
        <f>IFERROR(H21/G21,"")</f>
        <v/>
      </c>
    </row>
    <row r="22">
      <c r="A22" s="3">
        <f>Справочник!$B$13</f>
        <v/>
      </c>
      <c r="B22" s="8">
        <f>IF(E19="","",1/E19)</f>
        <v/>
      </c>
      <c r="C22" s="8">
        <f>IF(E20="","",1/E20)</f>
        <v/>
      </c>
      <c r="D22" s="8">
        <f>IF(E21="","",1/E21)</f>
        <v/>
      </c>
      <c r="E22" s="6" t="n">
        <v>1</v>
      </c>
      <c r="F22" s="8">
        <f>IF(COUNT(B22:E22)&lt;4,"",GEOMEAN(B22:E22))</f>
        <v/>
      </c>
      <c r="G22" s="9">
        <f>IFERROR(F22/SUM($F$19:$F$22),"")</f>
        <v/>
      </c>
      <c r="H22" s="8">
        <f>IFERROR(B22*$G$19+C22*$G$20+D22*$G$21+E22*$G$22,"")</f>
        <v/>
      </c>
      <c r="I22" s="8">
        <f>IFERROR(H22/G22,"")</f>
        <v/>
      </c>
    </row>
    <row r="23">
      <c r="A23" s="3" t="inlineStr">
        <is>
          <t>lambda max</t>
        </is>
      </c>
      <c r="B23" s="8">
        <f>IF(COUNT(I19:I22)&lt;4,"",AVERAGE(I19:I22))</f>
        <v/>
      </c>
      <c r="C23" s="3" t="inlineStr">
        <is>
          <t>CI</t>
        </is>
      </c>
      <c r="D23" s="8">
        <f>IFERROR((B23-4)/(4-1),"")</f>
        <v/>
      </c>
      <c r="E23" s="3" t="inlineStr">
        <is>
          <t>CR (RI=0.9)</t>
        </is>
      </c>
      <c r="F23" s="10">
        <f>IFERROR(D23/0.9,"")</f>
        <v/>
      </c>
      <c r="G23">
        <f>IF(F23="","заполните матрицу",IF(F23&lt;=0.1,"согласовано","CR &gt; 0,1: пересмотреть"))</f>
        <v/>
      </c>
    </row>
    <row r="30">
      <c r="A30" s="2">
        <f>"Альтернативы по критерию: "&amp;Справочник!$B$18</f>
        <v/>
      </c>
    </row>
    <row r="31" ht="45" customHeight="1">
      <c r="A31" s="4" t="inlineStr"/>
      <c r="B31" s="5">
        <f>Справочник!$B$10</f>
        <v/>
      </c>
      <c r="C31" s="5">
        <f>Справочник!$B$11</f>
        <v/>
      </c>
      <c r="D31" s="5">
        <f>Справочник!$B$12</f>
        <v/>
      </c>
      <c r="E31" s="5">
        <f>Справочник!$B$13</f>
        <v/>
      </c>
      <c r="F31" s="5" t="inlineStr">
        <is>
          <t>Среднее геом. строки</t>
        </is>
      </c>
      <c r="G31" s="5" t="inlineStr">
        <is>
          <t>Вес w</t>
        </is>
      </c>
      <c r="H31" s="5" t="inlineStr">
        <is>
          <t>(A*w)i</t>
        </is>
      </c>
      <c r="I31" s="5" t="inlineStr">
        <is>
          <t>(A*w)i / wi</t>
        </is>
      </c>
    </row>
    <row r="32">
      <c r="A32" s="3">
        <f>Справочник!$B$10</f>
        <v/>
      </c>
      <c r="B32" s="6" t="n">
        <v>1</v>
      </c>
      <c r="C32" s="7" t="n">
        <v>2</v>
      </c>
      <c r="D32" s="7" t="n">
        <v>2</v>
      </c>
      <c r="E32" s="7">
        <f>1/2</f>
        <v/>
      </c>
      <c r="F32" s="8">
        <f>IF(COUNT(B32:E32)&lt;4,"",GEOMEAN(B32:E32))</f>
        <v/>
      </c>
      <c r="G32" s="9">
        <f>IFERROR(F32/SUM($F$32:$F$35),"")</f>
        <v/>
      </c>
      <c r="H32" s="8">
        <f>IFERROR(B32*$G$32+C32*$G$33+D32*$G$34+E32*$G$35,"")</f>
        <v/>
      </c>
      <c r="I32" s="8">
        <f>IFERROR(H32/G32,"")</f>
        <v/>
      </c>
    </row>
    <row r="33">
      <c r="A33" s="3">
        <f>Справочник!$B$11</f>
        <v/>
      </c>
      <c r="B33" s="8">
        <f>IF(C32="","",1/C32)</f>
        <v/>
      </c>
      <c r="C33" s="6" t="n">
        <v>1</v>
      </c>
      <c r="D33" s="7" t="n">
        <v>1</v>
      </c>
      <c r="E33" s="7">
        <f>1/3</f>
        <v/>
      </c>
      <c r="F33" s="8">
        <f>IF(COUNT(B33:E33)&lt;4,"",GEOMEAN(B33:E33))</f>
        <v/>
      </c>
      <c r="G33" s="9">
        <f>IFERROR(F33/SUM($F$32:$F$35),"")</f>
        <v/>
      </c>
      <c r="H33" s="8">
        <f>IFERROR(B33*$G$32+C33*$G$33+D33*$G$34+E33*$G$35,"")</f>
        <v/>
      </c>
      <c r="I33" s="8">
        <f>IFERROR(H33/G33,"")</f>
        <v/>
      </c>
    </row>
    <row r="34">
      <c r="A34" s="3">
        <f>Справочник!$B$12</f>
        <v/>
      </c>
      <c r="B34" s="8">
        <f>IF(D32="","",1/D32)</f>
        <v/>
      </c>
      <c r="C34" s="8">
        <f>IF(D33="","",1/D33)</f>
        <v/>
      </c>
      <c r="D34" s="6" t="n">
        <v>1</v>
      </c>
      <c r="E34" s="7">
        <f>1/3</f>
        <v/>
      </c>
      <c r="F34" s="8">
        <f>IF(COUNT(B34:E34)&lt;4,"",GEOMEAN(B34:E34))</f>
        <v/>
      </c>
      <c r="G34" s="9">
        <f>IFERROR(F34/SUM($F$32:$F$35),"")</f>
        <v/>
      </c>
      <c r="H34" s="8">
        <f>IFERROR(B34*$G$32+C34*$G$33+D34*$G$34+E34*$G$35,"")</f>
        <v/>
      </c>
      <c r="I34" s="8">
        <f>IFERROR(H34/G34,"")</f>
        <v/>
      </c>
    </row>
    <row r="35">
      <c r="A35" s="3">
        <f>Справочник!$B$13</f>
        <v/>
      </c>
      <c r="B35" s="8">
        <f>IF(E32="","",1/E32)</f>
        <v/>
      </c>
      <c r="C35" s="8">
        <f>IF(E33="","",1/E33)</f>
        <v/>
      </c>
      <c r="D35" s="8">
        <f>IF(E34="","",1/E34)</f>
        <v/>
      </c>
      <c r="E35" s="6" t="n">
        <v>1</v>
      </c>
      <c r="F35" s="8">
        <f>IF(COUNT(B35:E35)&lt;4,"",GEOMEAN(B35:E35))</f>
        <v/>
      </c>
      <c r="G35" s="9">
        <f>IFERROR(F35/SUM($F$32:$F$35),"")</f>
        <v/>
      </c>
      <c r="H35" s="8">
        <f>IFERROR(B35*$G$32+C35*$G$33+D35*$G$34+E35*$G$35,"")</f>
        <v/>
      </c>
      <c r="I35" s="8">
        <f>IFERROR(H35/G35,"")</f>
        <v/>
      </c>
    </row>
    <row r="36">
      <c r="A36" s="3" t="inlineStr">
        <is>
          <t>lambda max</t>
        </is>
      </c>
      <c r="B36" s="8">
        <f>IF(COUNT(I32:I35)&lt;4,"",AVERAGE(I32:I35))</f>
        <v/>
      </c>
      <c r="C36" s="3" t="inlineStr">
        <is>
          <t>CI</t>
        </is>
      </c>
      <c r="D36" s="8">
        <f>IFERROR((B36-4)/(4-1),"")</f>
        <v/>
      </c>
      <c r="E36" s="3" t="inlineStr">
        <is>
          <t>CR (RI=0.9)</t>
        </is>
      </c>
      <c r="F36" s="10">
        <f>IFERROR(D36/0.9,"")</f>
        <v/>
      </c>
      <c r="G36">
        <f>IF(F36="","заполните матрицу",IF(F36&lt;=0.1,"согласовано","CR &gt; 0,1: пересмотреть"))</f>
        <v/>
      </c>
    </row>
    <row r="43">
      <c r="A43" s="2">
        <f>"Альтернативы по критерию: "&amp;Справочник!$B$19</f>
        <v/>
      </c>
    </row>
    <row r="44" ht="45" customHeight="1">
      <c r="A44" s="4" t="inlineStr"/>
      <c r="B44" s="5">
        <f>Справочник!$B$10</f>
        <v/>
      </c>
      <c r="C44" s="5">
        <f>Справочник!$B$11</f>
        <v/>
      </c>
      <c r="D44" s="5">
        <f>Справочник!$B$12</f>
        <v/>
      </c>
      <c r="E44" s="5">
        <f>Справочник!$B$13</f>
        <v/>
      </c>
      <c r="F44" s="5" t="inlineStr">
        <is>
          <t>Среднее геом. строки</t>
        </is>
      </c>
      <c r="G44" s="5" t="inlineStr">
        <is>
          <t>Вес w</t>
        </is>
      </c>
      <c r="H44" s="5" t="inlineStr">
        <is>
          <t>(A*w)i</t>
        </is>
      </c>
      <c r="I44" s="5" t="inlineStr">
        <is>
          <t>(A*w)i / wi</t>
        </is>
      </c>
    </row>
    <row r="45">
      <c r="A45" s="3">
        <f>Справочник!$B$10</f>
        <v/>
      </c>
      <c r="B45" s="6" t="n">
        <v>1</v>
      </c>
      <c r="C45" s="7" t="n">
        <v>3</v>
      </c>
      <c r="D45" s="7">
        <f>1/2</f>
        <v/>
      </c>
      <c r="E45" s="7" t="n">
        <v>3</v>
      </c>
      <c r="F45" s="8">
        <f>IF(COUNT(B45:E45)&lt;4,"",GEOMEAN(B45:E45))</f>
        <v/>
      </c>
      <c r="G45" s="9">
        <f>IFERROR(F45/SUM($F$45:$F$48),"")</f>
        <v/>
      </c>
      <c r="H45" s="8">
        <f>IFERROR(B45*$G$45+C45*$G$46+D45*$G$47+E45*$G$48,"")</f>
        <v/>
      </c>
      <c r="I45" s="8">
        <f>IFERROR(H45/G45,"")</f>
        <v/>
      </c>
    </row>
    <row r="46">
      <c r="A46" s="3">
        <f>Справочник!$B$11</f>
        <v/>
      </c>
      <c r="B46" s="8">
        <f>IF(C45="","",1/C45)</f>
        <v/>
      </c>
      <c r="C46" s="6" t="n">
        <v>1</v>
      </c>
      <c r="D46" s="7">
        <f>1/4</f>
        <v/>
      </c>
      <c r="E46" s="7" t="n">
        <v>1</v>
      </c>
      <c r="F46" s="8">
        <f>IF(COUNT(B46:E46)&lt;4,"",GEOMEAN(B46:E46))</f>
        <v/>
      </c>
      <c r="G46" s="9">
        <f>IFERROR(F46/SUM($F$45:$F$48),"")</f>
        <v/>
      </c>
      <c r="H46" s="8">
        <f>IFERROR(B46*$G$45+C46*$G$46+D46*$G$47+E46*$G$48,"")</f>
        <v/>
      </c>
      <c r="I46" s="8">
        <f>IFERROR(H46/G46,"")</f>
        <v/>
      </c>
    </row>
    <row r="47">
      <c r="A47" s="3">
        <f>Справочник!$B$12</f>
        <v/>
      </c>
      <c r="B47" s="8">
        <f>IF(D45="","",1/D45)</f>
        <v/>
      </c>
      <c r="C47" s="8">
        <f>IF(D46="","",1/D46)</f>
        <v/>
      </c>
      <c r="D47" s="6" t="n">
        <v>1</v>
      </c>
      <c r="E47" s="7" t="n">
        <v>4</v>
      </c>
      <c r="F47" s="8">
        <f>IF(COUNT(B47:E47)&lt;4,"",GEOMEAN(B47:E47))</f>
        <v/>
      </c>
      <c r="G47" s="9">
        <f>IFERROR(F47/SUM($F$45:$F$48),"")</f>
        <v/>
      </c>
      <c r="H47" s="8">
        <f>IFERROR(B47*$G$45+C47*$G$46+D47*$G$47+E47*$G$48,"")</f>
        <v/>
      </c>
      <c r="I47" s="8">
        <f>IFERROR(H47/G47,"")</f>
        <v/>
      </c>
    </row>
    <row r="48">
      <c r="A48" s="3">
        <f>Справочник!$B$13</f>
        <v/>
      </c>
      <c r="B48" s="8">
        <f>IF(E45="","",1/E45)</f>
        <v/>
      </c>
      <c r="C48" s="8">
        <f>IF(E46="","",1/E46)</f>
        <v/>
      </c>
      <c r="D48" s="8">
        <f>IF(E47="","",1/E47)</f>
        <v/>
      </c>
      <c r="E48" s="6" t="n">
        <v>1</v>
      </c>
      <c r="F48" s="8">
        <f>IF(COUNT(B48:E48)&lt;4,"",GEOMEAN(B48:E48))</f>
        <v/>
      </c>
      <c r="G48" s="9">
        <f>IFERROR(F48/SUM($F$45:$F$48),"")</f>
        <v/>
      </c>
      <c r="H48" s="8">
        <f>IFERROR(B48*$G$45+C48*$G$46+D48*$G$47+E48*$G$48,"")</f>
        <v/>
      </c>
      <c r="I48" s="8">
        <f>IFERROR(H48/G48,"")</f>
        <v/>
      </c>
    </row>
    <row r="49">
      <c r="A49" s="3" t="inlineStr">
        <is>
          <t>lambda max</t>
        </is>
      </c>
      <c r="B49" s="8">
        <f>IF(COUNT(I45:I48)&lt;4,"",AVERAGE(I45:I48))</f>
        <v/>
      </c>
      <c r="C49" s="3" t="inlineStr">
        <is>
          <t>CI</t>
        </is>
      </c>
      <c r="D49" s="8">
        <f>IFERROR((B49-4)/(4-1),"")</f>
        <v/>
      </c>
      <c r="E49" s="3" t="inlineStr">
        <is>
          <t>CR (RI=0.9)</t>
        </is>
      </c>
      <c r="F49" s="10">
        <f>IFERROR(D49/0.9,"")</f>
        <v/>
      </c>
      <c r="G49">
        <f>IF(F49="","заполните матрицу",IF(F49&lt;=0.1,"согласовано","CR &gt; 0,1: пересмотреть"))</f>
        <v/>
      </c>
    </row>
    <row r="56">
      <c r="A56" s="2">
        <f>"Альтернативы по критерию: "&amp;Справочник!$B$20</f>
        <v/>
      </c>
    </row>
    <row r="57" ht="45" customHeight="1">
      <c r="A57" s="4" t="inlineStr"/>
      <c r="B57" s="5">
        <f>Справочник!$B$10</f>
        <v/>
      </c>
      <c r="C57" s="5">
        <f>Справочник!$B$11</f>
        <v/>
      </c>
      <c r="D57" s="5">
        <f>Справочник!$B$12</f>
        <v/>
      </c>
      <c r="E57" s="5">
        <f>Справочник!$B$13</f>
        <v/>
      </c>
      <c r="F57" s="5" t="inlineStr">
        <is>
          <t>Среднее геом. строки</t>
        </is>
      </c>
      <c r="G57" s="5" t="inlineStr">
        <is>
          <t>Вес w</t>
        </is>
      </c>
      <c r="H57" s="5" t="inlineStr">
        <is>
          <t>(A*w)i</t>
        </is>
      </c>
      <c r="I57" s="5" t="inlineStr">
        <is>
          <t>(A*w)i / wi</t>
        </is>
      </c>
    </row>
    <row r="58">
      <c r="A58" s="3">
        <f>Справочник!$B$10</f>
        <v/>
      </c>
      <c r="B58" s="6" t="n">
        <v>1</v>
      </c>
      <c r="C58" s="7" t="n">
        <v>1</v>
      </c>
      <c r="D58" s="7">
        <f>1/4</f>
        <v/>
      </c>
      <c r="E58" s="7" t="n">
        <v>2</v>
      </c>
      <c r="F58" s="8">
        <f>IF(COUNT(B58:E58)&lt;4,"",GEOMEAN(B58:E58))</f>
        <v/>
      </c>
      <c r="G58" s="9">
        <f>IFERROR(F58/SUM($F$58:$F$61),"")</f>
        <v/>
      </c>
      <c r="H58" s="8">
        <f>IFERROR(B58*$G$58+C58*$G$59+D58*$G$60+E58*$G$61,"")</f>
        <v/>
      </c>
      <c r="I58" s="8">
        <f>IFERROR(H58/G58,"")</f>
        <v/>
      </c>
    </row>
    <row r="59">
      <c r="A59" s="3">
        <f>Справочник!$B$11</f>
        <v/>
      </c>
      <c r="B59" s="8">
        <f>IF(C58="","",1/C58)</f>
        <v/>
      </c>
      <c r="C59" s="6" t="n">
        <v>1</v>
      </c>
      <c r="D59" s="7">
        <f>1/4</f>
        <v/>
      </c>
      <c r="E59" s="7" t="n">
        <v>2</v>
      </c>
      <c r="F59" s="8">
        <f>IF(COUNT(B59:E59)&lt;4,"",GEOMEAN(B59:E59))</f>
        <v/>
      </c>
      <c r="G59" s="9">
        <f>IFERROR(F59/SUM($F$58:$F$61),"")</f>
        <v/>
      </c>
      <c r="H59" s="8">
        <f>IFERROR(B59*$G$58+C59*$G$59+D59*$G$60+E59*$G$61,"")</f>
        <v/>
      </c>
      <c r="I59" s="8">
        <f>IFERROR(H59/G59,"")</f>
        <v/>
      </c>
    </row>
    <row r="60">
      <c r="A60" s="3">
        <f>Справочник!$B$12</f>
        <v/>
      </c>
      <c r="B60" s="8">
        <f>IF(D58="","",1/D58)</f>
        <v/>
      </c>
      <c r="C60" s="8">
        <f>IF(D59="","",1/D59)</f>
        <v/>
      </c>
      <c r="D60" s="6" t="n">
        <v>1</v>
      </c>
      <c r="E60" s="7" t="n">
        <v>5</v>
      </c>
      <c r="F60" s="8">
        <f>IF(COUNT(B60:E60)&lt;4,"",GEOMEAN(B60:E60))</f>
        <v/>
      </c>
      <c r="G60" s="9">
        <f>IFERROR(F60/SUM($F$58:$F$61),"")</f>
        <v/>
      </c>
      <c r="H60" s="8">
        <f>IFERROR(B60*$G$58+C60*$G$59+D60*$G$60+E60*$G$61,"")</f>
        <v/>
      </c>
      <c r="I60" s="8">
        <f>IFERROR(H60/G60,"")</f>
        <v/>
      </c>
    </row>
    <row r="61">
      <c r="A61" s="3">
        <f>Справочник!$B$13</f>
        <v/>
      </c>
      <c r="B61" s="8">
        <f>IF(E58="","",1/E58)</f>
        <v/>
      </c>
      <c r="C61" s="8">
        <f>IF(E59="","",1/E59)</f>
        <v/>
      </c>
      <c r="D61" s="8">
        <f>IF(E60="","",1/E60)</f>
        <v/>
      </c>
      <c r="E61" s="6" t="n">
        <v>1</v>
      </c>
      <c r="F61" s="8">
        <f>IF(COUNT(B61:E61)&lt;4,"",GEOMEAN(B61:E61))</f>
        <v/>
      </c>
      <c r="G61" s="9">
        <f>IFERROR(F61/SUM($F$58:$F$61),"")</f>
        <v/>
      </c>
      <c r="H61" s="8">
        <f>IFERROR(B61*$G$58+C61*$G$59+D61*$G$60+E61*$G$61,"")</f>
        <v/>
      </c>
      <c r="I61" s="8">
        <f>IFERROR(H61/G61,"")</f>
        <v/>
      </c>
    </row>
    <row r="62">
      <c r="A62" s="3" t="inlineStr">
        <is>
          <t>lambda max</t>
        </is>
      </c>
      <c r="B62" s="8">
        <f>IF(COUNT(I58:I61)&lt;4,"",AVERAGE(I58:I61))</f>
        <v/>
      </c>
      <c r="C62" s="3" t="inlineStr">
        <is>
          <t>CI</t>
        </is>
      </c>
      <c r="D62" s="8">
        <f>IFERROR((B62-4)/(4-1),"")</f>
        <v/>
      </c>
      <c r="E62" s="3" t="inlineStr">
        <is>
          <t>CR (RI=0.9)</t>
        </is>
      </c>
      <c r="F62" s="10">
        <f>IFERROR(D62/0.9,"")</f>
        <v/>
      </c>
      <c r="G62">
        <f>IF(F62="","заполните матрицу",IF(F62&lt;=0.1,"согласовано","CR &gt; 0,1: пересмотреть"))</f>
        <v/>
      </c>
    </row>
    <row r="69">
      <c r="A69" s="2">
        <f>"Альтернативы по критерию: "&amp;Справочник!$B$21</f>
        <v/>
      </c>
    </row>
    <row r="70" ht="45" customHeight="1">
      <c r="A70" s="4" t="inlineStr"/>
      <c r="B70" s="5">
        <f>Справочник!$B$10</f>
        <v/>
      </c>
      <c r="C70" s="5">
        <f>Справочник!$B$11</f>
        <v/>
      </c>
      <c r="D70" s="5">
        <f>Справочник!$B$12</f>
        <v/>
      </c>
      <c r="E70" s="5">
        <f>Справочник!$B$13</f>
        <v/>
      </c>
      <c r="F70" s="5" t="inlineStr">
        <is>
          <t>Среднее геом. строки</t>
        </is>
      </c>
      <c r="G70" s="5" t="inlineStr">
        <is>
          <t>Вес w</t>
        </is>
      </c>
      <c r="H70" s="5" t="inlineStr">
        <is>
          <t>(A*w)i</t>
        </is>
      </c>
      <c r="I70" s="5" t="inlineStr">
        <is>
          <t>(A*w)i / wi</t>
        </is>
      </c>
    </row>
    <row r="71">
      <c r="A71" s="3">
        <f>Справочник!$B$10</f>
        <v/>
      </c>
      <c r="B71" s="6" t="n">
        <v>1</v>
      </c>
      <c r="C71" s="7">
        <f>1/2</f>
        <v/>
      </c>
      <c r="D71" s="7" t="n">
        <v>1</v>
      </c>
      <c r="E71" s="7" t="n">
        <v>2</v>
      </c>
      <c r="F71" s="8">
        <f>IF(COUNT(B71:E71)&lt;4,"",GEOMEAN(B71:E71))</f>
        <v/>
      </c>
      <c r="G71" s="9">
        <f>IFERROR(F71/SUM($F$71:$F$74),"")</f>
        <v/>
      </c>
      <c r="H71" s="8">
        <f>IFERROR(B71*$G$71+C71*$G$72+D71*$G$73+E71*$G$74,"")</f>
        <v/>
      </c>
      <c r="I71" s="8">
        <f>IFERROR(H71/G71,"")</f>
        <v/>
      </c>
    </row>
    <row r="72">
      <c r="A72" s="3">
        <f>Справочник!$B$11</f>
        <v/>
      </c>
      <c r="B72" s="8">
        <f>IF(C71="","",1/C71)</f>
        <v/>
      </c>
      <c r="C72" s="6" t="n">
        <v>1</v>
      </c>
      <c r="D72" s="7" t="n">
        <v>2</v>
      </c>
      <c r="E72" s="7" t="n">
        <v>3</v>
      </c>
      <c r="F72" s="8">
        <f>IF(COUNT(B72:E72)&lt;4,"",GEOMEAN(B72:E72))</f>
        <v/>
      </c>
      <c r="G72" s="9">
        <f>IFERROR(F72/SUM($F$71:$F$74),"")</f>
        <v/>
      </c>
      <c r="H72" s="8">
        <f>IFERROR(B72*$G$71+C72*$G$72+D72*$G$73+E72*$G$74,"")</f>
        <v/>
      </c>
      <c r="I72" s="8">
        <f>IFERROR(H72/G72,"")</f>
        <v/>
      </c>
    </row>
    <row r="73">
      <c r="A73" s="3">
        <f>Справочник!$B$12</f>
        <v/>
      </c>
      <c r="B73" s="8">
        <f>IF(D71="","",1/D71)</f>
        <v/>
      </c>
      <c r="C73" s="8">
        <f>IF(D72="","",1/D72)</f>
        <v/>
      </c>
      <c r="D73" s="6" t="n">
        <v>1</v>
      </c>
      <c r="E73" s="7" t="n">
        <v>2</v>
      </c>
      <c r="F73" s="8">
        <f>IF(COUNT(B73:E73)&lt;4,"",GEOMEAN(B73:E73))</f>
        <v/>
      </c>
      <c r="G73" s="9">
        <f>IFERROR(F73/SUM($F$71:$F$74),"")</f>
        <v/>
      </c>
      <c r="H73" s="8">
        <f>IFERROR(B73*$G$71+C73*$G$72+D73*$G$73+E73*$G$74,"")</f>
        <v/>
      </c>
      <c r="I73" s="8">
        <f>IFERROR(H73/G73,"")</f>
        <v/>
      </c>
    </row>
    <row r="74">
      <c r="A74" s="3">
        <f>Справочник!$B$13</f>
        <v/>
      </c>
      <c r="B74" s="8">
        <f>IF(E71="","",1/E71)</f>
        <v/>
      </c>
      <c r="C74" s="8">
        <f>IF(E72="","",1/E72)</f>
        <v/>
      </c>
      <c r="D74" s="8">
        <f>IF(E73="","",1/E73)</f>
        <v/>
      </c>
      <c r="E74" s="6" t="n">
        <v>1</v>
      </c>
      <c r="F74" s="8">
        <f>IF(COUNT(B74:E74)&lt;4,"",GEOMEAN(B74:E74))</f>
        <v/>
      </c>
      <c r="G74" s="9">
        <f>IFERROR(F74/SUM($F$71:$F$74),"")</f>
        <v/>
      </c>
      <c r="H74" s="8">
        <f>IFERROR(B74*$G$71+C74*$G$72+D74*$G$73+E74*$G$74,"")</f>
        <v/>
      </c>
      <c r="I74" s="8">
        <f>IFERROR(H74/G74,"")</f>
        <v/>
      </c>
    </row>
    <row r="75">
      <c r="A75" s="3" t="inlineStr">
        <is>
          <t>lambda max</t>
        </is>
      </c>
      <c r="B75" s="8">
        <f>IF(COUNT(I71:I74)&lt;4,"",AVERAGE(I71:I74))</f>
        <v/>
      </c>
      <c r="C75" s="3" t="inlineStr">
        <is>
          <t>CI</t>
        </is>
      </c>
      <c r="D75" s="8">
        <f>IFERROR((B75-4)/(4-1),"")</f>
        <v/>
      </c>
      <c r="E75" s="3" t="inlineStr">
        <is>
          <t>CR (RI=0.9)</t>
        </is>
      </c>
      <c r="F75" s="10">
        <f>IFERROR(D75/0.9,"")</f>
        <v/>
      </c>
      <c r="G75">
        <f>IF(F75="","заполните матрицу",IF(F75&lt;=0.1,"согласовано","CR &gt; 0,1: пересмотреть"))</f>
        <v/>
      </c>
    </row>
  </sheetData>
  <dataValidations count="1">
    <dataValidation sqref="C6 C19 C32 C45 C58 C71 D6 D7 D19 D20 D32 D33 D45 D46 D58 D59 D71 D72 E6 E7 E8 E19 E20 E21 E32 E33 E34 E45 E46 E47 E58 E59 E60 E71 E72 E73 F6 F7 F8 F9" showDropDown="0" showInputMessage="0" showErrorMessage="1" allowBlank="0" error="Число от 1/9 до 9 (обратные вводить формулой, например =1/3)" type="decimal" operator="between">
      <formula1>0.111</formula1>
      <formula2>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f>"Попарные сравнения, эксперт 2: "&amp;Справочник!$B$5</f>
        <v/>
      </c>
    </row>
    <row r="2">
      <c r="A2" t="inlineStr">
        <is>
          <t>Заполнить желтые ячейки выше диагонали по шкале Саати 1-9. Если элемент строки хуже элемента столбца: =1/3, =1/5 и т.д.</t>
        </is>
      </c>
    </row>
    <row r="4">
      <c r="A4" s="2" t="inlineStr">
        <is>
          <t>Критерии (относительно цели: выбор концепции)</t>
        </is>
      </c>
    </row>
    <row r="5" ht="45" customHeight="1">
      <c r="A5" s="4" t="inlineStr"/>
      <c r="B5" s="5">
        <f>Справочник!$B$17</f>
        <v/>
      </c>
      <c r="C5" s="5">
        <f>Справочник!$B$18</f>
        <v/>
      </c>
      <c r="D5" s="5">
        <f>Справочник!$B$19</f>
        <v/>
      </c>
      <c r="E5" s="5">
        <f>Справочник!$B$20</f>
        <v/>
      </c>
      <c r="F5" s="5">
        <f>Справочник!$B$21</f>
        <v/>
      </c>
      <c r="G5" s="5" t="inlineStr">
        <is>
          <t>Среднее геом. строки</t>
        </is>
      </c>
      <c r="H5" s="5" t="inlineStr">
        <is>
          <t>Вес w</t>
        </is>
      </c>
      <c r="I5" s="5" t="inlineStr">
        <is>
          <t>(A*w)i</t>
        </is>
      </c>
      <c r="J5" s="5" t="inlineStr">
        <is>
          <t>(A*w)i / wi</t>
        </is>
      </c>
    </row>
    <row r="6">
      <c r="A6" s="3">
        <f>Справочник!$B$17</f>
        <v/>
      </c>
      <c r="B6" s="6" t="n">
        <v>1</v>
      </c>
      <c r="C6" s="7" t="n"/>
      <c r="D6" s="7" t="n"/>
      <c r="E6" s="7" t="n"/>
      <c r="F6" s="7" t="n"/>
      <c r="G6" s="8">
        <f>IF(COUNT(B6:F6)&lt;5,"",GEOMEAN(B6:F6))</f>
        <v/>
      </c>
      <c r="H6" s="9">
        <f>IFERROR(G6/SUM($G$6:$G$10),"")</f>
        <v/>
      </c>
      <c r="I6" s="8">
        <f>IFERROR(B6*$H$6+C6*$H$7+D6*$H$8+E6*$H$9+F6*$H$10,"")</f>
        <v/>
      </c>
      <c r="J6" s="8">
        <f>IFERROR(I6/H6,"")</f>
        <v/>
      </c>
    </row>
    <row r="7">
      <c r="A7" s="3">
        <f>Справочник!$B$18</f>
        <v/>
      </c>
      <c r="B7" s="8">
        <f>IF(C6="","",1/C6)</f>
        <v/>
      </c>
      <c r="C7" s="6" t="n">
        <v>1</v>
      </c>
      <c r="D7" s="7" t="n"/>
      <c r="E7" s="7" t="n"/>
      <c r="F7" s="7" t="n"/>
      <c r="G7" s="8">
        <f>IF(COUNT(B7:F7)&lt;5,"",GEOMEAN(B7:F7))</f>
        <v/>
      </c>
      <c r="H7" s="9">
        <f>IFERROR(G7/SUM($G$6:$G$10),"")</f>
        <v/>
      </c>
      <c r="I7" s="8">
        <f>IFERROR(B7*$H$6+C7*$H$7+D7*$H$8+E7*$H$9+F7*$H$10,"")</f>
        <v/>
      </c>
      <c r="J7" s="8">
        <f>IFERROR(I7/H7,"")</f>
        <v/>
      </c>
    </row>
    <row r="8">
      <c r="A8" s="3">
        <f>Справочник!$B$19</f>
        <v/>
      </c>
      <c r="B8" s="8">
        <f>IF(D6="","",1/D6)</f>
        <v/>
      </c>
      <c r="C8" s="8">
        <f>IF(D7="","",1/D7)</f>
        <v/>
      </c>
      <c r="D8" s="6" t="n">
        <v>1</v>
      </c>
      <c r="E8" s="7" t="n"/>
      <c r="F8" s="7" t="n"/>
      <c r="G8" s="8">
        <f>IF(COUNT(B8:F8)&lt;5,"",GEOMEAN(B8:F8))</f>
        <v/>
      </c>
      <c r="H8" s="9">
        <f>IFERROR(G8/SUM($G$6:$G$10),"")</f>
        <v/>
      </c>
      <c r="I8" s="8">
        <f>IFERROR(B8*$H$6+C8*$H$7+D8*$H$8+E8*$H$9+F8*$H$10,"")</f>
        <v/>
      </c>
      <c r="J8" s="8">
        <f>IFERROR(I8/H8,"")</f>
        <v/>
      </c>
    </row>
    <row r="9">
      <c r="A9" s="3">
        <f>Справочник!$B$20</f>
        <v/>
      </c>
      <c r="B9" s="8">
        <f>IF(E6="","",1/E6)</f>
        <v/>
      </c>
      <c r="C9" s="8">
        <f>IF(E7="","",1/E7)</f>
        <v/>
      </c>
      <c r="D9" s="8">
        <f>IF(E8="","",1/E8)</f>
        <v/>
      </c>
      <c r="E9" s="6" t="n">
        <v>1</v>
      </c>
      <c r="F9" s="7" t="n"/>
      <c r="G9" s="8">
        <f>IF(COUNT(B9:F9)&lt;5,"",GEOMEAN(B9:F9))</f>
        <v/>
      </c>
      <c r="H9" s="9">
        <f>IFERROR(G9/SUM($G$6:$G$10),"")</f>
        <v/>
      </c>
      <c r="I9" s="8">
        <f>IFERROR(B9*$H$6+C9*$H$7+D9*$H$8+E9*$H$9+F9*$H$10,"")</f>
        <v/>
      </c>
      <c r="J9" s="8">
        <f>IFERROR(I9/H9,"")</f>
        <v/>
      </c>
    </row>
    <row r="10">
      <c r="A10" s="3">
        <f>Справочник!$B$21</f>
        <v/>
      </c>
      <c r="B10" s="8">
        <f>IF(F6="","",1/F6)</f>
        <v/>
      </c>
      <c r="C10" s="8">
        <f>IF(F7="","",1/F7)</f>
        <v/>
      </c>
      <c r="D10" s="8">
        <f>IF(F8="","",1/F8)</f>
        <v/>
      </c>
      <c r="E10" s="8">
        <f>IF(F9="","",1/F9)</f>
        <v/>
      </c>
      <c r="F10" s="6" t="n">
        <v>1</v>
      </c>
      <c r="G10" s="8">
        <f>IF(COUNT(B10:F10)&lt;5,"",GEOMEAN(B10:F10))</f>
        <v/>
      </c>
      <c r="H10" s="9">
        <f>IFERROR(G10/SUM($G$6:$G$10),"")</f>
        <v/>
      </c>
      <c r="I10" s="8">
        <f>IFERROR(B10*$H$6+C10*$H$7+D10*$H$8+E10*$H$9+F10*$H$10,"")</f>
        <v/>
      </c>
      <c r="J10" s="8">
        <f>IFERROR(I10/H10,"")</f>
        <v/>
      </c>
    </row>
    <row r="11">
      <c r="A11" s="3" t="inlineStr">
        <is>
          <t>lambda max</t>
        </is>
      </c>
      <c r="B11" s="8">
        <f>IF(COUNT(J6:J10)&lt;5,"",AVERAGE(J6:J10))</f>
        <v/>
      </c>
      <c r="C11" s="3" t="inlineStr">
        <is>
          <t>CI</t>
        </is>
      </c>
      <c r="D11" s="8">
        <f>IFERROR((B11-5)/(5-1),"")</f>
        <v/>
      </c>
      <c r="E11" s="3" t="inlineStr">
        <is>
          <t>CR (RI=1.12)</t>
        </is>
      </c>
      <c r="F11" s="10">
        <f>IFERROR(D11/1.12,"")</f>
        <v/>
      </c>
      <c r="G11">
        <f>IF(F11="","заполните матрицу",IF(F11&lt;=0.1,"согласовано","CR &gt; 0,1: пересмотреть"))</f>
        <v/>
      </c>
    </row>
    <row r="17">
      <c r="A17" s="2">
        <f>"Альтернативы по критерию: "&amp;Справочник!$B$17</f>
        <v/>
      </c>
    </row>
    <row r="18" ht="45" customHeight="1">
      <c r="A18" s="4" t="inlineStr"/>
      <c r="B18" s="5">
        <f>Справочник!$B$10</f>
        <v/>
      </c>
      <c r="C18" s="5">
        <f>Справочник!$B$11</f>
        <v/>
      </c>
      <c r="D18" s="5">
        <f>Справочник!$B$12</f>
        <v/>
      </c>
      <c r="E18" s="5">
        <f>Справочник!$B$13</f>
        <v/>
      </c>
      <c r="F18" s="5" t="inlineStr">
        <is>
          <t>Среднее геом. строки</t>
        </is>
      </c>
      <c r="G18" s="5" t="inlineStr">
        <is>
          <t>Вес w</t>
        </is>
      </c>
      <c r="H18" s="5" t="inlineStr">
        <is>
          <t>(A*w)i</t>
        </is>
      </c>
      <c r="I18" s="5" t="inlineStr">
        <is>
          <t>(A*w)i / wi</t>
        </is>
      </c>
    </row>
    <row r="19">
      <c r="A19" s="3">
        <f>Справочник!$B$10</f>
        <v/>
      </c>
      <c r="B19" s="6" t="n">
        <v>1</v>
      </c>
      <c r="C19" s="7" t="n"/>
      <c r="D19" s="7" t="n"/>
      <c r="E19" s="7" t="n"/>
      <c r="F19" s="8">
        <f>IF(COUNT(B19:E19)&lt;4,"",GEOMEAN(B19:E19))</f>
        <v/>
      </c>
      <c r="G19" s="9">
        <f>IFERROR(F19/SUM($F$19:$F$22),"")</f>
        <v/>
      </c>
      <c r="H19" s="8">
        <f>IFERROR(B19*$G$19+C19*$G$20+D19*$G$21+E19*$G$22,"")</f>
        <v/>
      </c>
      <c r="I19" s="8">
        <f>IFERROR(H19/G19,"")</f>
        <v/>
      </c>
    </row>
    <row r="20">
      <c r="A20" s="3">
        <f>Справочник!$B$11</f>
        <v/>
      </c>
      <c r="B20" s="8">
        <f>IF(C19="","",1/C19)</f>
        <v/>
      </c>
      <c r="C20" s="6" t="n">
        <v>1</v>
      </c>
      <c r="D20" s="7" t="n"/>
      <c r="E20" s="7" t="n"/>
      <c r="F20" s="8">
        <f>IF(COUNT(B20:E20)&lt;4,"",GEOMEAN(B20:E20))</f>
        <v/>
      </c>
      <c r="G20" s="9">
        <f>IFERROR(F20/SUM($F$19:$F$22),"")</f>
        <v/>
      </c>
      <c r="H20" s="8">
        <f>IFERROR(B20*$G$19+C20*$G$20+D20*$G$21+E20*$G$22,"")</f>
        <v/>
      </c>
      <c r="I20" s="8">
        <f>IFERROR(H20/G20,"")</f>
        <v/>
      </c>
    </row>
    <row r="21">
      <c r="A21" s="3">
        <f>Справочник!$B$12</f>
        <v/>
      </c>
      <c r="B21" s="8">
        <f>IF(D19="","",1/D19)</f>
        <v/>
      </c>
      <c r="C21" s="8">
        <f>IF(D20="","",1/D20)</f>
        <v/>
      </c>
      <c r="D21" s="6" t="n">
        <v>1</v>
      </c>
      <c r="E21" s="7" t="n"/>
      <c r="F21" s="8">
        <f>IF(COUNT(B21:E21)&lt;4,"",GEOMEAN(B21:E21))</f>
        <v/>
      </c>
      <c r="G21" s="9">
        <f>IFERROR(F21/SUM($F$19:$F$22),"")</f>
        <v/>
      </c>
      <c r="H21" s="8">
        <f>IFERROR(B21*$G$19+C21*$G$20+D21*$G$21+E21*$G$22,"")</f>
        <v/>
      </c>
      <c r="I21" s="8">
        <f>IFERROR(H21/G21,"")</f>
        <v/>
      </c>
    </row>
    <row r="22">
      <c r="A22" s="3">
        <f>Справочник!$B$13</f>
        <v/>
      </c>
      <c r="B22" s="8">
        <f>IF(E19="","",1/E19)</f>
        <v/>
      </c>
      <c r="C22" s="8">
        <f>IF(E20="","",1/E20)</f>
        <v/>
      </c>
      <c r="D22" s="8">
        <f>IF(E21="","",1/E21)</f>
        <v/>
      </c>
      <c r="E22" s="6" t="n">
        <v>1</v>
      </c>
      <c r="F22" s="8">
        <f>IF(COUNT(B22:E22)&lt;4,"",GEOMEAN(B22:E22))</f>
        <v/>
      </c>
      <c r="G22" s="9">
        <f>IFERROR(F22/SUM($F$19:$F$22),"")</f>
        <v/>
      </c>
      <c r="H22" s="8">
        <f>IFERROR(B22*$G$19+C22*$G$20+D22*$G$21+E22*$G$22,"")</f>
        <v/>
      </c>
      <c r="I22" s="8">
        <f>IFERROR(H22/G22,"")</f>
        <v/>
      </c>
    </row>
    <row r="23">
      <c r="A23" s="3" t="inlineStr">
        <is>
          <t>lambda max</t>
        </is>
      </c>
      <c r="B23" s="8">
        <f>IF(COUNT(I19:I22)&lt;4,"",AVERAGE(I19:I22))</f>
        <v/>
      </c>
      <c r="C23" s="3" t="inlineStr">
        <is>
          <t>CI</t>
        </is>
      </c>
      <c r="D23" s="8">
        <f>IFERROR((B23-4)/(4-1),"")</f>
        <v/>
      </c>
      <c r="E23" s="3" t="inlineStr">
        <is>
          <t>CR (RI=0.9)</t>
        </is>
      </c>
      <c r="F23" s="10">
        <f>IFERROR(D23/0.9,"")</f>
        <v/>
      </c>
      <c r="G23">
        <f>IF(F23="","заполните матрицу",IF(F23&lt;=0.1,"согласовано","CR &gt; 0,1: пересмотреть"))</f>
        <v/>
      </c>
    </row>
    <row r="30">
      <c r="A30" s="2">
        <f>"Альтернативы по критерию: "&amp;Справочник!$B$18</f>
        <v/>
      </c>
    </row>
    <row r="31" ht="45" customHeight="1">
      <c r="A31" s="4" t="inlineStr"/>
      <c r="B31" s="5">
        <f>Справочник!$B$10</f>
        <v/>
      </c>
      <c r="C31" s="5">
        <f>Справочник!$B$11</f>
        <v/>
      </c>
      <c r="D31" s="5">
        <f>Справочник!$B$12</f>
        <v/>
      </c>
      <c r="E31" s="5">
        <f>Справочник!$B$13</f>
        <v/>
      </c>
      <c r="F31" s="5" t="inlineStr">
        <is>
          <t>Среднее геом. строки</t>
        </is>
      </c>
      <c r="G31" s="5" t="inlineStr">
        <is>
          <t>Вес w</t>
        </is>
      </c>
      <c r="H31" s="5" t="inlineStr">
        <is>
          <t>(A*w)i</t>
        </is>
      </c>
      <c r="I31" s="5" t="inlineStr">
        <is>
          <t>(A*w)i / wi</t>
        </is>
      </c>
    </row>
    <row r="32">
      <c r="A32" s="3">
        <f>Справочник!$B$10</f>
        <v/>
      </c>
      <c r="B32" s="6" t="n">
        <v>1</v>
      </c>
      <c r="C32" s="7" t="n"/>
      <c r="D32" s="7" t="n"/>
      <c r="E32" s="7" t="n"/>
      <c r="F32" s="8">
        <f>IF(COUNT(B32:E32)&lt;4,"",GEOMEAN(B32:E32))</f>
        <v/>
      </c>
      <c r="G32" s="9">
        <f>IFERROR(F32/SUM($F$32:$F$35),"")</f>
        <v/>
      </c>
      <c r="H32" s="8">
        <f>IFERROR(B32*$G$32+C32*$G$33+D32*$G$34+E32*$G$35,"")</f>
        <v/>
      </c>
      <c r="I32" s="8">
        <f>IFERROR(H32/G32,"")</f>
        <v/>
      </c>
    </row>
    <row r="33">
      <c r="A33" s="3">
        <f>Справочник!$B$11</f>
        <v/>
      </c>
      <c r="B33" s="8">
        <f>IF(C32="","",1/C32)</f>
        <v/>
      </c>
      <c r="C33" s="6" t="n">
        <v>1</v>
      </c>
      <c r="D33" s="7" t="n"/>
      <c r="E33" s="7" t="n"/>
      <c r="F33" s="8">
        <f>IF(COUNT(B33:E33)&lt;4,"",GEOMEAN(B33:E33))</f>
        <v/>
      </c>
      <c r="G33" s="9">
        <f>IFERROR(F33/SUM($F$32:$F$35),"")</f>
        <v/>
      </c>
      <c r="H33" s="8">
        <f>IFERROR(B33*$G$32+C33*$G$33+D33*$G$34+E33*$G$35,"")</f>
        <v/>
      </c>
      <c r="I33" s="8">
        <f>IFERROR(H33/G33,"")</f>
        <v/>
      </c>
    </row>
    <row r="34">
      <c r="A34" s="3">
        <f>Справочник!$B$12</f>
        <v/>
      </c>
      <c r="B34" s="8">
        <f>IF(D32="","",1/D32)</f>
        <v/>
      </c>
      <c r="C34" s="8">
        <f>IF(D33="","",1/D33)</f>
        <v/>
      </c>
      <c r="D34" s="6" t="n">
        <v>1</v>
      </c>
      <c r="E34" s="7" t="n"/>
      <c r="F34" s="8">
        <f>IF(COUNT(B34:E34)&lt;4,"",GEOMEAN(B34:E34))</f>
        <v/>
      </c>
      <c r="G34" s="9">
        <f>IFERROR(F34/SUM($F$32:$F$35),"")</f>
        <v/>
      </c>
      <c r="H34" s="8">
        <f>IFERROR(B34*$G$32+C34*$G$33+D34*$G$34+E34*$G$35,"")</f>
        <v/>
      </c>
      <c r="I34" s="8">
        <f>IFERROR(H34/G34,"")</f>
        <v/>
      </c>
    </row>
    <row r="35">
      <c r="A35" s="3">
        <f>Справочник!$B$13</f>
        <v/>
      </c>
      <c r="B35" s="8">
        <f>IF(E32="","",1/E32)</f>
        <v/>
      </c>
      <c r="C35" s="8">
        <f>IF(E33="","",1/E33)</f>
        <v/>
      </c>
      <c r="D35" s="8">
        <f>IF(E34="","",1/E34)</f>
        <v/>
      </c>
      <c r="E35" s="6" t="n">
        <v>1</v>
      </c>
      <c r="F35" s="8">
        <f>IF(COUNT(B35:E35)&lt;4,"",GEOMEAN(B35:E35))</f>
        <v/>
      </c>
      <c r="G35" s="9">
        <f>IFERROR(F35/SUM($F$32:$F$35),"")</f>
        <v/>
      </c>
      <c r="H35" s="8">
        <f>IFERROR(B35*$G$32+C35*$G$33+D35*$G$34+E35*$G$35,"")</f>
        <v/>
      </c>
      <c r="I35" s="8">
        <f>IFERROR(H35/G35,"")</f>
        <v/>
      </c>
    </row>
    <row r="36">
      <c r="A36" s="3" t="inlineStr">
        <is>
          <t>lambda max</t>
        </is>
      </c>
      <c r="B36" s="8">
        <f>IF(COUNT(I32:I35)&lt;4,"",AVERAGE(I32:I35))</f>
        <v/>
      </c>
      <c r="C36" s="3" t="inlineStr">
        <is>
          <t>CI</t>
        </is>
      </c>
      <c r="D36" s="8">
        <f>IFERROR((B36-4)/(4-1),"")</f>
        <v/>
      </c>
      <c r="E36" s="3" t="inlineStr">
        <is>
          <t>CR (RI=0.9)</t>
        </is>
      </c>
      <c r="F36" s="10">
        <f>IFERROR(D36/0.9,"")</f>
        <v/>
      </c>
      <c r="G36">
        <f>IF(F36="","заполните матрицу",IF(F36&lt;=0.1,"согласовано","CR &gt; 0,1: пересмотреть"))</f>
        <v/>
      </c>
    </row>
    <row r="43">
      <c r="A43" s="2">
        <f>"Альтернативы по критерию: "&amp;Справочник!$B$19</f>
        <v/>
      </c>
    </row>
    <row r="44" ht="45" customHeight="1">
      <c r="A44" s="4" t="inlineStr"/>
      <c r="B44" s="5">
        <f>Справочник!$B$10</f>
        <v/>
      </c>
      <c r="C44" s="5">
        <f>Справочник!$B$11</f>
        <v/>
      </c>
      <c r="D44" s="5">
        <f>Справочник!$B$12</f>
        <v/>
      </c>
      <c r="E44" s="5">
        <f>Справочник!$B$13</f>
        <v/>
      </c>
      <c r="F44" s="5" t="inlineStr">
        <is>
          <t>Среднее геом. строки</t>
        </is>
      </c>
      <c r="G44" s="5" t="inlineStr">
        <is>
          <t>Вес w</t>
        </is>
      </c>
      <c r="H44" s="5" t="inlineStr">
        <is>
          <t>(A*w)i</t>
        </is>
      </c>
      <c r="I44" s="5" t="inlineStr">
        <is>
          <t>(A*w)i / wi</t>
        </is>
      </c>
    </row>
    <row r="45">
      <c r="A45" s="3">
        <f>Справочник!$B$10</f>
        <v/>
      </c>
      <c r="B45" s="6" t="n">
        <v>1</v>
      </c>
      <c r="C45" s="7" t="n"/>
      <c r="D45" s="7" t="n"/>
      <c r="E45" s="7" t="n"/>
      <c r="F45" s="8">
        <f>IF(COUNT(B45:E45)&lt;4,"",GEOMEAN(B45:E45))</f>
        <v/>
      </c>
      <c r="G45" s="9">
        <f>IFERROR(F45/SUM($F$45:$F$48),"")</f>
        <v/>
      </c>
      <c r="H45" s="8">
        <f>IFERROR(B45*$G$45+C45*$G$46+D45*$G$47+E45*$G$48,"")</f>
        <v/>
      </c>
      <c r="I45" s="8">
        <f>IFERROR(H45/G45,"")</f>
        <v/>
      </c>
    </row>
    <row r="46">
      <c r="A46" s="3">
        <f>Справочник!$B$11</f>
        <v/>
      </c>
      <c r="B46" s="8">
        <f>IF(C45="","",1/C45)</f>
        <v/>
      </c>
      <c r="C46" s="6" t="n">
        <v>1</v>
      </c>
      <c r="D46" s="7" t="n"/>
      <c r="E46" s="7" t="n"/>
      <c r="F46" s="8">
        <f>IF(COUNT(B46:E46)&lt;4,"",GEOMEAN(B46:E46))</f>
        <v/>
      </c>
      <c r="G46" s="9">
        <f>IFERROR(F46/SUM($F$45:$F$48),"")</f>
        <v/>
      </c>
      <c r="H46" s="8">
        <f>IFERROR(B46*$G$45+C46*$G$46+D46*$G$47+E46*$G$48,"")</f>
        <v/>
      </c>
      <c r="I46" s="8">
        <f>IFERROR(H46/G46,"")</f>
        <v/>
      </c>
    </row>
    <row r="47">
      <c r="A47" s="3">
        <f>Справочник!$B$12</f>
        <v/>
      </c>
      <c r="B47" s="8">
        <f>IF(D45="","",1/D45)</f>
        <v/>
      </c>
      <c r="C47" s="8">
        <f>IF(D46="","",1/D46)</f>
        <v/>
      </c>
      <c r="D47" s="6" t="n">
        <v>1</v>
      </c>
      <c r="E47" s="7" t="n"/>
      <c r="F47" s="8">
        <f>IF(COUNT(B47:E47)&lt;4,"",GEOMEAN(B47:E47))</f>
        <v/>
      </c>
      <c r="G47" s="9">
        <f>IFERROR(F47/SUM($F$45:$F$48),"")</f>
        <v/>
      </c>
      <c r="H47" s="8">
        <f>IFERROR(B47*$G$45+C47*$G$46+D47*$G$47+E47*$G$48,"")</f>
        <v/>
      </c>
      <c r="I47" s="8">
        <f>IFERROR(H47/G47,"")</f>
        <v/>
      </c>
    </row>
    <row r="48">
      <c r="A48" s="3">
        <f>Справочник!$B$13</f>
        <v/>
      </c>
      <c r="B48" s="8">
        <f>IF(E45="","",1/E45)</f>
        <v/>
      </c>
      <c r="C48" s="8">
        <f>IF(E46="","",1/E46)</f>
        <v/>
      </c>
      <c r="D48" s="8">
        <f>IF(E47="","",1/E47)</f>
        <v/>
      </c>
      <c r="E48" s="6" t="n">
        <v>1</v>
      </c>
      <c r="F48" s="8">
        <f>IF(COUNT(B48:E48)&lt;4,"",GEOMEAN(B48:E48))</f>
        <v/>
      </c>
      <c r="G48" s="9">
        <f>IFERROR(F48/SUM($F$45:$F$48),"")</f>
        <v/>
      </c>
      <c r="H48" s="8">
        <f>IFERROR(B48*$G$45+C48*$G$46+D48*$G$47+E48*$G$48,"")</f>
        <v/>
      </c>
      <c r="I48" s="8">
        <f>IFERROR(H48/G48,"")</f>
        <v/>
      </c>
    </row>
    <row r="49">
      <c r="A49" s="3" t="inlineStr">
        <is>
          <t>lambda max</t>
        </is>
      </c>
      <c r="B49" s="8">
        <f>IF(COUNT(I45:I48)&lt;4,"",AVERAGE(I45:I48))</f>
        <v/>
      </c>
      <c r="C49" s="3" t="inlineStr">
        <is>
          <t>CI</t>
        </is>
      </c>
      <c r="D49" s="8">
        <f>IFERROR((B49-4)/(4-1),"")</f>
        <v/>
      </c>
      <c r="E49" s="3" t="inlineStr">
        <is>
          <t>CR (RI=0.9)</t>
        </is>
      </c>
      <c r="F49" s="10">
        <f>IFERROR(D49/0.9,"")</f>
        <v/>
      </c>
      <c r="G49">
        <f>IF(F49="","заполните матрицу",IF(F49&lt;=0.1,"согласовано","CR &gt; 0,1: пересмотреть"))</f>
        <v/>
      </c>
    </row>
    <row r="56">
      <c r="A56" s="2">
        <f>"Альтернативы по критерию: "&amp;Справочник!$B$20</f>
        <v/>
      </c>
    </row>
    <row r="57" ht="45" customHeight="1">
      <c r="A57" s="4" t="inlineStr"/>
      <c r="B57" s="5">
        <f>Справочник!$B$10</f>
        <v/>
      </c>
      <c r="C57" s="5">
        <f>Справочник!$B$11</f>
        <v/>
      </c>
      <c r="D57" s="5">
        <f>Справочник!$B$12</f>
        <v/>
      </c>
      <c r="E57" s="5">
        <f>Справочник!$B$13</f>
        <v/>
      </c>
      <c r="F57" s="5" t="inlineStr">
        <is>
          <t>Среднее геом. строки</t>
        </is>
      </c>
      <c r="G57" s="5" t="inlineStr">
        <is>
          <t>Вес w</t>
        </is>
      </c>
      <c r="H57" s="5" t="inlineStr">
        <is>
          <t>(A*w)i</t>
        </is>
      </c>
      <c r="I57" s="5" t="inlineStr">
        <is>
          <t>(A*w)i / wi</t>
        </is>
      </c>
    </row>
    <row r="58">
      <c r="A58" s="3">
        <f>Справочник!$B$10</f>
        <v/>
      </c>
      <c r="B58" s="6" t="n">
        <v>1</v>
      </c>
      <c r="C58" s="7" t="n"/>
      <c r="D58" s="7" t="n"/>
      <c r="E58" s="7" t="n"/>
      <c r="F58" s="8">
        <f>IF(COUNT(B58:E58)&lt;4,"",GEOMEAN(B58:E58))</f>
        <v/>
      </c>
      <c r="G58" s="9">
        <f>IFERROR(F58/SUM($F$58:$F$61),"")</f>
        <v/>
      </c>
      <c r="H58" s="8">
        <f>IFERROR(B58*$G$58+C58*$G$59+D58*$G$60+E58*$G$61,"")</f>
        <v/>
      </c>
      <c r="I58" s="8">
        <f>IFERROR(H58/G58,"")</f>
        <v/>
      </c>
    </row>
    <row r="59">
      <c r="A59" s="3">
        <f>Справочник!$B$11</f>
        <v/>
      </c>
      <c r="B59" s="8">
        <f>IF(C58="","",1/C58)</f>
        <v/>
      </c>
      <c r="C59" s="6" t="n">
        <v>1</v>
      </c>
      <c r="D59" s="7" t="n"/>
      <c r="E59" s="7" t="n"/>
      <c r="F59" s="8">
        <f>IF(COUNT(B59:E59)&lt;4,"",GEOMEAN(B59:E59))</f>
        <v/>
      </c>
      <c r="G59" s="9">
        <f>IFERROR(F59/SUM($F$58:$F$61),"")</f>
        <v/>
      </c>
      <c r="H59" s="8">
        <f>IFERROR(B59*$G$58+C59*$G$59+D59*$G$60+E59*$G$61,"")</f>
        <v/>
      </c>
      <c r="I59" s="8">
        <f>IFERROR(H59/G59,"")</f>
        <v/>
      </c>
    </row>
    <row r="60">
      <c r="A60" s="3">
        <f>Справочник!$B$12</f>
        <v/>
      </c>
      <c r="B60" s="8">
        <f>IF(D58="","",1/D58)</f>
        <v/>
      </c>
      <c r="C60" s="8">
        <f>IF(D59="","",1/D59)</f>
        <v/>
      </c>
      <c r="D60" s="6" t="n">
        <v>1</v>
      </c>
      <c r="E60" s="7" t="n"/>
      <c r="F60" s="8">
        <f>IF(COUNT(B60:E60)&lt;4,"",GEOMEAN(B60:E60))</f>
        <v/>
      </c>
      <c r="G60" s="9">
        <f>IFERROR(F60/SUM($F$58:$F$61),"")</f>
        <v/>
      </c>
      <c r="H60" s="8">
        <f>IFERROR(B60*$G$58+C60*$G$59+D60*$G$60+E60*$G$61,"")</f>
        <v/>
      </c>
      <c r="I60" s="8">
        <f>IFERROR(H60/G60,"")</f>
        <v/>
      </c>
    </row>
    <row r="61">
      <c r="A61" s="3">
        <f>Справочник!$B$13</f>
        <v/>
      </c>
      <c r="B61" s="8">
        <f>IF(E58="","",1/E58)</f>
        <v/>
      </c>
      <c r="C61" s="8">
        <f>IF(E59="","",1/E59)</f>
        <v/>
      </c>
      <c r="D61" s="8">
        <f>IF(E60="","",1/E60)</f>
        <v/>
      </c>
      <c r="E61" s="6" t="n">
        <v>1</v>
      </c>
      <c r="F61" s="8">
        <f>IF(COUNT(B61:E61)&lt;4,"",GEOMEAN(B61:E61))</f>
        <v/>
      </c>
      <c r="G61" s="9">
        <f>IFERROR(F61/SUM($F$58:$F$61),"")</f>
        <v/>
      </c>
      <c r="H61" s="8">
        <f>IFERROR(B61*$G$58+C61*$G$59+D61*$G$60+E61*$G$61,"")</f>
        <v/>
      </c>
      <c r="I61" s="8">
        <f>IFERROR(H61/G61,"")</f>
        <v/>
      </c>
    </row>
    <row r="62">
      <c r="A62" s="3" t="inlineStr">
        <is>
          <t>lambda max</t>
        </is>
      </c>
      <c r="B62" s="8">
        <f>IF(COUNT(I58:I61)&lt;4,"",AVERAGE(I58:I61))</f>
        <v/>
      </c>
      <c r="C62" s="3" t="inlineStr">
        <is>
          <t>CI</t>
        </is>
      </c>
      <c r="D62" s="8">
        <f>IFERROR((B62-4)/(4-1),"")</f>
        <v/>
      </c>
      <c r="E62" s="3" t="inlineStr">
        <is>
          <t>CR (RI=0.9)</t>
        </is>
      </c>
      <c r="F62" s="10">
        <f>IFERROR(D62/0.9,"")</f>
        <v/>
      </c>
      <c r="G62">
        <f>IF(F62="","заполните матрицу",IF(F62&lt;=0.1,"согласовано","CR &gt; 0,1: пересмотреть"))</f>
        <v/>
      </c>
    </row>
    <row r="69">
      <c r="A69" s="2">
        <f>"Альтернативы по критерию: "&amp;Справочник!$B$21</f>
        <v/>
      </c>
    </row>
    <row r="70" ht="45" customHeight="1">
      <c r="A70" s="4" t="inlineStr"/>
      <c r="B70" s="5">
        <f>Справочник!$B$10</f>
        <v/>
      </c>
      <c r="C70" s="5">
        <f>Справочник!$B$11</f>
        <v/>
      </c>
      <c r="D70" s="5">
        <f>Справочник!$B$12</f>
        <v/>
      </c>
      <c r="E70" s="5">
        <f>Справочник!$B$13</f>
        <v/>
      </c>
      <c r="F70" s="5" t="inlineStr">
        <is>
          <t>Среднее геом. строки</t>
        </is>
      </c>
      <c r="G70" s="5" t="inlineStr">
        <is>
          <t>Вес w</t>
        </is>
      </c>
      <c r="H70" s="5" t="inlineStr">
        <is>
          <t>(A*w)i</t>
        </is>
      </c>
      <c r="I70" s="5" t="inlineStr">
        <is>
          <t>(A*w)i / wi</t>
        </is>
      </c>
    </row>
    <row r="71">
      <c r="A71" s="3">
        <f>Справочник!$B$10</f>
        <v/>
      </c>
      <c r="B71" s="6" t="n">
        <v>1</v>
      </c>
      <c r="C71" s="7" t="n"/>
      <c r="D71" s="7" t="n"/>
      <c r="E71" s="7" t="n"/>
      <c r="F71" s="8">
        <f>IF(COUNT(B71:E71)&lt;4,"",GEOMEAN(B71:E71))</f>
        <v/>
      </c>
      <c r="G71" s="9">
        <f>IFERROR(F71/SUM($F$71:$F$74),"")</f>
        <v/>
      </c>
      <c r="H71" s="8">
        <f>IFERROR(B71*$G$71+C71*$G$72+D71*$G$73+E71*$G$74,"")</f>
        <v/>
      </c>
      <c r="I71" s="8">
        <f>IFERROR(H71/G71,"")</f>
        <v/>
      </c>
    </row>
    <row r="72">
      <c r="A72" s="3">
        <f>Справочник!$B$11</f>
        <v/>
      </c>
      <c r="B72" s="8">
        <f>IF(C71="","",1/C71)</f>
        <v/>
      </c>
      <c r="C72" s="6" t="n">
        <v>1</v>
      </c>
      <c r="D72" s="7" t="n"/>
      <c r="E72" s="7" t="n"/>
      <c r="F72" s="8">
        <f>IF(COUNT(B72:E72)&lt;4,"",GEOMEAN(B72:E72))</f>
        <v/>
      </c>
      <c r="G72" s="9">
        <f>IFERROR(F72/SUM($F$71:$F$74),"")</f>
        <v/>
      </c>
      <c r="H72" s="8">
        <f>IFERROR(B72*$G$71+C72*$G$72+D72*$G$73+E72*$G$74,"")</f>
        <v/>
      </c>
      <c r="I72" s="8">
        <f>IFERROR(H72/G72,"")</f>
        <v/>
      </c>
    </row>
    <row r="73">
      <c r="A73" s="3">
        <f>Справочник!$B$12</f>
        <v/>
      </c>
      <c r="B73" s="8">
        <f>IF(D71="","",1/D71)</f>
        <v/>
      </c>
      <c r="C73" s="8">
        <f>IF(D72="","",1/D72)</f>
        <v/>
      </c>
      <c r="D73" s="6" t="n">
        <v>1</v>
      </c>
      <c r="E73" s="7" t="n"/>
      <c r="F73" s="8">
        <f>IF(COUNT(B73:E73)&lt;4,"",GEOMEAN(B73:E73))</f>
        <v/>
      </c>
      <c r="G73" s="9">
        <f>IFERROR(F73/SUM($F$71:$F$74),"")</f>
        <v/>
      </c>
      <c r="H73" s="8">
        <f>IFERROR(B73*$G$71+C73*$G$72+D73*$G$73+E73*$G$74,"")</f>
        <v/>
      </c>
      <c r="I73" s="8">
        <f>IFERROR(H73/G73,"")</f>
        <v/>
      </c>
    </row>
    <row r="74">
      <c r="A74" s="3">
        <f>Справочник!$B$13</f>
        <v/>
      </c>
      <c r="B74" s="8">
        <f>IF(E71="","",1/E71)</f>
        <v/>
      </c>
      <c r="C74" s="8">
        <f>IF(E72="","",1/E72)</f>
        <v/>
      </c>
      <c r="D74" s="8">
        <f>IF(E73="","",1/E73)</f>
        <v/>
      </c>
      <c r="E74" s="6" t="n">
        <v>1</v>
      </c>
      <c r="F74" s="8">
        <f>IF(COUNT(B74:E74)&lt;4,"",GEOMEAN(B74:E74))</f>
        <v/>
      </c>
      <c r="G74" s="9">
        <f>IFERROR(F74/SUM($F$71:$F$74),"")</f>
        <v/>
      </c>
      <c r="H74" s="8">
        <f>IFERROR(B74*$G$71+C74*$G$72+D74*$G$73+E74*$G$74,"")</f>
        <v/>
      </c>
      <c r="I74" s="8">
        <f>IFERROR(H74/G74,"")</f>
        <v/>
      </c>
    </row>
    <row r="75">
      <c r="A75" s="3" t="inlineStr">
        <is>
          <t>lambda max</t>
        </is>
      </c>
      <c r="B75" s="8">
        <f>IF(COUNT(I71:I74)&lt;4,"",AVERAGE(I71:I74))</f>
        <v/>
      </c>
      <c r="C75" s="3" t="inlineStr">
        <is>
          <t>CI</t>
        </is>
      </c>
      <c r="D75" s="8">
        <f>IFERROR((B75-4)/(4-1),"")</f>
        <v/>
      </c>
      <c r="E75" s="3" t="inlineStr">
        <is>
          <t>CR (RI=0.9)</t>
        </is>
      </c>
      <c r="F75" s="10">
        <f>IFERROR(D75/0.9,"")</f>
        <v/>
      </c>
      <c r="G75">
        <f>IF(F75="","заполните матрицу",IF(F75&lt;=0.1,"согласовано","CR &gt; 0,1: пересмотреть"))</f>
        <v/>
      </c>
    </row>
  </sheetData>
  <dataValidations count="1">
    <dataValidation sqref="C6 C19 C32 C45 C58 C71 D6 D7 D19 D20 D32 D33 D45 D46 D58 D59 D71 D72 E6 E7 E8 E19 E20 E21 E32 E33 E34 E45 E46 E47 E58 E59 E60 E71 E72 E73 F6 F7 F8 F9" showDropDown="0" showInputMessage="0" showErrorMessage="1" allowBlank="0" error="Число от 1/9 до 9 (обратные вводить формулой, например =1/3)" type="decimal" operator="between">
      <formula1>0.111</formula1>
      <formula2>9</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f>"Попарные сравнения, эксперт 3: "&amp;Справочник!$B$6</f>
        <v/>
      </c>
    </row>
    <row r="2">
      <c r="A2" t="inlineStr">
        <is>
          <t>Заполнить желтые ячейки выше диагонали по шкале Саати 1-9. Если элемент строки хуже элемента столбца: =1/3, =1/5 и т.д.</t>
        </is>
      </c>
    </row>
    <row r="4">
      <c r="A4" s="2" t="inlineStr">
        <is>
          <t>Критерии (относительно цели: выбор концепции)</t>
        </is>
      </c>
    </row>
    <row r="5" ht="45" customHeight="1">
      <c r="A5" s="4" t="inlineStr"/>
      <c r="B5" s="5">
        <f>Справочник!$B$17</f>
        <v/>
      </c>
      <c r="C5" s="5">
        <f>Справочник!$B$18</f>
        <v/>
      </c>
      <c r="D5" s="5">
        <f>Справочник!$B$19</f>
        <v/>
      </c>
      <c r="E5" s="5">
        <f>Справочник!$B$20</f>
        <v/>
      </c>
      <c r="F5" s="5">
        <f>Справочник!$B$21</f>
        <v/>
      </c>
      <c r="G5" s="5" t="inlineStr">
        <is>
          <t>Среднее геом. строки</t>
        </is>
      </c>
      <c r="H5" s="5" t="inlineStr">
        <is>
          <t>Вес w</t>
        </is>
      </c>
      <c r="I5" s="5" t="inlineStr">
        <is>
          <t>(A*w)i</t>
        </is>
      </c>
      <c r="J5" s="5" t="inlineStr">
        <is>
          <t>(A*w)i / wi</t>
        </is>
      </c>
    </row>
    <row r="6">
      <c r="A6" s="3">
        <f>Справочник!$B$17</f>
        <v/>
      </c>
      <c r="B6" s="6" t="n">
        <v>1</v>
      </c>
      <c r="C6" s="7" t="n"/>
      <c r="D6" s="7" t="n"/>
      <c r="E6" s="7" t="n"/>
      <c r="F6" s="7" t="n"/>
      <c r="G6" s="8">
        <f>IF(COUNT(B6:F6)&lt;5,"",GEOMEAN(B6:F6))</f>
        <v/>
      </c>
      <c r="H6" s="9">
        <f>IFERROR(G6/SUM($G$6:$G$10),"")</f>
        <v/>
      </c>
      <c r="I6" s="8">
        <f>IFERROR(B6*$H$6+C6*$H$7+D6*$H$8+E6*$H$9+F6*$H$10,"")</f>
        <v/>
      </c>
      <c r="J6" s="8">
        <f>IFERROR(I6/H6,"")</f>
        <v/>
      </c>
    </row>
    <row r="7">
      <c r="A7" s="3">
        <f>Справочник!$B$18</f>
        <v/>
      </c>
      <c r="B7" s="8">
        <f>IF(C6="","",1/C6)</f>
        <v/>
      </c>
      <c r="C7" s="6" t="n">
        <v>1</v>
      </c>
      <c r="D7" s="7" t="n"/>
      <c r="E7" s="7" t="n"/>
      <c r="F7" s="7" t="n"/>
      <c r="G7" s="8">
        <f>IF(COUNT(B7:F7)&lt;5,"",GEOMEAN(B7:F7))</f>
        <v/>
      </c>
      <c r="H7" s="9">
        <f>IFERROR(G7/SUM($G$6:$G$10),"")</f>
        <v/>
      </c>
      <c r="I7" s="8">
        <f>IFERROR(B7*$H$6+C7*$H$7+D7*$H$8+E7*$H$9+F7*$H$10,"")</f>
        <v/>
      </c>
      <c r="J7" s="8">
        <f>IFERROR(I7/H7,"")</f>
        <v/>
      </c>
    </row>
    <row r="8">
      <c r="A8" s="3">
        <f>Справочник!$B$19</f>
        <v/>
      </c>
      <c r="B8" s="8">
        <f>IF(D6="","",1/D6)</f>
        <v/>
      </c>
      <c r="C8" s="8">
        <f>IF(D7="","",1/D7)</f>
        <v/>
      </c>
      <c r="D8" s="6" t="n">
        <v>1</v>
      </c>
      <c r="E8" s="7" t="n"/>
      <c r="F8" s="7" t="n"/>
      <c r="G8" s="8">
        <f>IF(COUNT(B8:F8)&lt;5,"",GEOMEAN(B8:F8))</f>
        <v/>
      </c>
      <c r="H8" s="9">
        <f>IFERROR(G8/SUM($G$6:$G$10),"")</f>
        <v/>
      </c>
      <c r="I8" s="8">
        <f>IFERROR(B8*$H$6+C8*$H$7+D8*$H$8+E8*$H$9+F8*$H$10,"")</f>
        <v/>
      </c>
      <c r="J8" s="8">
        <f>IFERROR(I8/H8,"")</f>
        <v/>
      </c>
    </row>
    <row r="9">
      <c r="A9" s="3">
        <f>Справочник!$B$20</f>
        <v/>
      </c>
      <c r="B9" s="8">
        <f>IF(E6="","",1/E6)</f>
        <v/>
      </c>
      <c r="C9" s="8">
        <f>IF(E7="","",1/E7)</f>
        <v/>
      </c>
      <c r="D9" s="8">
        <f>IF(E8="","",1/E8)</f>
        <v/>
      </c>
      <c r="E9" s="6" t="n">
        <v>1</v>
      </c>
      <c r="F9" s="7" t="n"/>
      <c r="G9" s="8">
        <f>IF(COUNT(B9:F9)&lt;5,"",GEOMEAN(B9:F9))</f>
        <v/>
      </c>
      <c r="H9" s="9">
        <f>IFERROR(G9/SUM($G$6:$G$10),"")</f>
        <v/>
      </c>
      <c r="I9" s="8">
        <f>IFERROR(B9*$H$6+C9*$H$7+D9*$H$8+E9*$H$9+F9*$H$10,"")</f>
        <v/>
      </c>
      <c r="J9" s="8">
        <f>IFERROR(I9/H9,"")</f>
        <v/>
      </c>
    </row>
    <row r="10">
      <c r="A10" s="3">
        <f>Справочник!$B$21</f>
        <v/>
      </c>
      <c r="B10" s="8">
        <f>IF(F6="","",1/F6)</f>
        <v/>
      </c>
      <c r="C10" s="8">
        <f>IF(F7="","",1/F7)</f>
        <v/>
      </c>
      <c r="D10" s="8">
        <f>IF(F8="","",1/F8)</f>
        <v/>
      </c>
      <c r="E10" s="8">
        <f>IF(F9="","",1/F9)</f>
        <v/>
      </c>
      <c r="F10" s="6" t="n">
        <v>1</v>
      </c>
      <c r="G10" s="8">
        <f>IF(COUNT(B10:F10)&lt;5,"",GEOMEAN(B10:F10))</f>
        <v/>
      </c>
      <c r="H10" s="9">
        <f>IFERROR(G10/SUM($G$6:$G$10),"")</f>
        <v/>
      </c>
      <c r="I10" s="8">
        <f>IFERROR(B10*$H$6+C10*$H$7+D10*$H$8+E10*$H$9+F10*$H$10,"")</f>
        <v/>
      </c>
      <c r="J10" s="8">
        <f>IFERROR(I10/H10,"")</f>
        <v/>
      </c>
    </row>
    <row r="11">
      <c r="A11" s="3" t="inlineStr">
        <is>
          <t>lambda max</t>
        </is>
      </c>
      <c r="B11" s="8">
        <f>IF(COUNT(J6:J10)&lt;5,"",AVERAGE(J6:J10))</f>
        <v/>
      </c>
      <c r="C11" s="3" t="inlineStr">
        <is>
          <t>CI</t>
        </is>
      </c>
      <c r="D11" s="8">
        <f>IFERROR((B11-5)/(5-1),"")</f>
        <v/>
      </c>
      <c r="E11" s="3" t="inlineStr">
        <is>
          <t>CR (RI=1.12)</t>
        </is>
      </c>
      <c r="F11" s="10">
        <f>IFERROR(D11/1.12,"")</f>
        <v/>
      </c>
      <c r="G11">
        <f>IF(F11="","заполните матрицу",IF(F11&lt;=0.1,"согласовано","CR &gt; 0,1: пересмотреть"))</f>
        <v/>
      </c>
    </row>
    <row r="17">
      <c r="A17" s="2">
        <f>"Альтернативы по критерию: "&amp;Справочник!$B$17</f>
        <v/>
      </c>
    </row>
    <row r="18" ht="45" customHeight="1">
      <c r="A18" s="4" t="inlineStr"/>
      <c r="B18" s="5">
        <f>Справочник!$B$10</f>
        <v/>
      </c>
      <c r="C18" s="5">
        <f>Справочник!$B$11</f>
        <v/>
      </c>
      <c r="D18" s="5">
        <f>Справочник!$B$12</f>
        <v/>
      </c>
      <c r="E18" s="5">
        <f>Справочник!$B$13</f>
        <v/>
      </c>
      <c r="F18" s="5" t="inlineStr">
        <is>
          <t>Среднее геом. строки</t>
        </is>
      </c>
      <c r="G18" s="5" t="inlineStr">
        <is>
          <t>Вес w</t>
        </is>
      </c>
      <c r="H18" s="5" t="inlineStr">
        <is>
          <t>(A*w)i</t>
        </is>
      </c>
      <c r="I18" s="5" t="inlineStr">
        <is>
          <t>(A*w)i / wi</t>
        </is>
      </c>
    </row>
    <row r="19">
      <c r="A19" s="3">
        <f>Справочник!$B$10</f>
        <v/>
      </c>
      <c r="B19" s="6" t="n">
        <v>1</v>
      </c>
      <c r="C19" s="7" t="n"/>
      <c r="D19" s="7" t="n"/>
      <c r="E19" s="7" t="n"/>
      <c r="F19" s="8">
        <f>IF(COUNT(B19:E19)&lt;4,"",GEOMEAN(B19:E19))</f>
        <v/>
      </c>
      <c r="G19" s="9">
        <f>IFERROR(F19/SUM($F$19:$F$22),"")</f>
        <v/>
      </c>
      <c r="H19" s="8">
        <f>IFERROR(B19*$G$19+C19*$G$20+D19*$G$21+E19*$G$22,"")</f>
        <v/>
      </c>
      <c r="I19" s="8">
        <f>IFERROR(H19/G19,"")</f>
        <v/>
      </c>
    </row>
    <row r="20">
      <c r="A20" s="3">
        <f>Справочник!$B$11</f>
        <v/>
      </c>
      <c r="B20" s="8">
        <f>IF(C19="","",1/C19)</f>
        <v/>
      </c>
      <c r="C20" s="6" t="n">
        <v>1</v>
      </c>
      <c r="D20" s="7" t="n"/>
      <c r="E20" s="7" t="n"/>
      <c r="F20" s="8">
        <f>IF(COUNT(B20:E20)&lt;4,"",GEOMEAN(B20:E20))</f>
        <v/>
      </c>
      <c r="G20" s="9">
        <f>IFERROR(F20/SUM($F$19:$F$22),"")</f>
        <v/>
      </c>
      <c r="H20" s="8">
        <f>IFERROR(B20*$G$19+C20*$G$20+D20*$G$21+E20*$G$22,"")</f>
        <v/>
      </c>
      <c r="I20" s="8">
        <f>IFERROR(H20/G20,"")</f>
        <v/>
      </c>
    </row>
    <row r="21">
      <c r="A21" s="3">
        <f>Справочник!$B$12</f>
        <v/>
      </c>
      <c r="B21" s="8">
        <f>IF(D19="","",1/D19)</f>
        <v/>
      </c>
      <c r="C21" s="8">
        <f>IF(D20="","",1/D20)</f>
        <v/>
      </c>
      <c r="D21" s="6" t="n">
        <v>1</v>
      </c>
      <c r="E21" s="7" t="n"/>
      <c r="F21" s="8">
        <f>IF(COUNT(B21:E21)&lt;4,"",GEOMEAN(B21:E21))</f>
        <v/>
      </c>
      <c r="G21" s="9">
        <f>IFERROR(F21/SUM($F$19:$F$22),"")</f>
        <v/>
      </c>
      <c r="H21" s="8">
        <f>IFERROR(B21*$G$19+C21*$G$20+D21*$G$21+E21*$G$22,"")</f>
        <v/>
      </c>
      <c r="I21" s="8">
        <f>IFERROR(H21/G21,"")</f>
        <v/>
      </c>
    </row>
    <row r="22">
      <c r="A22" s="3">
        <f>Справочник!$B$13</f>
        <v/>
      </c>
      <c r="B22" s="8">
        <f>IF(E19="","",1/E19)</f>
        <v/>
      </c>
      <c r="C22" s="8">
        <f>IF(E20="","",1/E20)</f>
        <v/>
      </c>
      <c r="D22" s="8">
        <f>IF(E21="","",1/E21)</f>
        <v/>
      </c>
      <c r="E22" s="6" t="n">
        <v>1</v>
      </c>
      <c r="F22" s="8">
        <f>IF(COUNT(B22:E22)&lt;4,"",GEOMEAN(B22:E22))</f>
        <v/>
      </c>
      <c r="G22" s="9">
        <f>IFERROR(F22/SUM($F$19:$F$22),"")</f>
        <v/>
      </c>
      <c r="H22" s="8">
        <f>IFERROR(B22*$G$19+C22*$G$20+D22*$G$21+E22*$G$22,"")</f>
        <v/>
      </c>
      <c r="I22" s="8">
        <f>IFERROR(H22/G22,"")</f>
        <v/>
      </c>
    </row>
    <row r="23">
      <c r="A23" s="3" t="inlineStr">
        <is>
          <t>lambda max</t>
        </is>
      </c>
      <c r="B23" s="8">
        <f>IF(COUNT(I19:I22)&lt;4,"",AVERAGE(I19:I22))</f>
        <v/>
      </c>
      <c r="C23" s="3" t="inlineStr">
        <is>
          <t>CI</t>
        </is>
      </c>
      <c r="D23" s="8">
        <f>IFERROR((B23-4)/(4-1),"")</f>
        <v/>
      </c>
      <c r="E23" s="3" t="inlineStr">
        <is>
          <t>CR (RI=0.9)</t>
        </is>
      </c>
      <c r="F23" s="10">
        <f>IFERROR(D23/0.9,"")</f>
        <v/>
      </c>
      <c r="G23">
        <f>IF(F23="","заполните матрицу",IF(F23&lt;=0.1,"согласовано","CR &gt; 0,1: пересмотреть"))</f>
        <v/>
      </c>
    </row>
    <row r="30">
      <c r="A30" s="2">
        <f>"Альтернативы по критерию: "&amp;Справочник!$B$18</f>
        <v/>
      </c>
    </row>
    <row r="31" ht="45" customHeight="1">
      <c r="A31" s="4" t="inlineStr"/>
      <c r="B31" s="5">
        <f>Справочник!$B$10</f>
        <v/>
      </c>
      <c r="C31" s="5">
        <f>Справочник!$B$11</f>
        <v/>
      </c>
      <c r="D31" s="5">
        <f>Справочник!$B$12</f>
        <v/>
      </c>
      <c r="E31" s="5">
        <f>Справочник!$B$13</f>
        <v/>
      </c>
      <c r="F31" s="5" t="inlineStr">
        <is>
          <t>Среднее геом. строки</t>
        </is>
      </c>
      <c r="G31" s="5" t="inlineStr">
        <is>
          <t>Вес w</t>
        </is>
      </c>
      <c r="H31" s="5" t="inlineStr">
        <is>
          <t>(A*w)i</t>
        </is>
      </c>
      <c r="I31" s="5" t="inlineStr">
        <is>
          <t>(A*w)i / wi</t>
        </is>
      </c>
    </row>
    <row r="32">
      <c r="A32" s="3">
        <f>Справочник!$B$10</f>
        <v/>
      </c>
      <c r="B32" s="6" t="n">
        <v>1</v>
      </c>
      <c r="C32" s="7" t="n"/>
      <c r="D32" s="7" t="n"/>
      <c r="E32" s="7" t="n"/>
      <c r="F32" s="8">
        <f>IF(COUNT(B32:E32)&lt;4,"",GEOMEAN(B32:E32))</f>
        <v/>
      </c>
      <c r="G32" s="9">
        <f>IFERROR(F32/SUM($F$32:$F$35),"")</f>
        <v/>
      </c>
      <c r="H32" s="8">
        <f>IFERROR(B32*$G$32+C32*$G$33+D32*$G$34+E32*$G$35,"")</f>
        <v/>
      </c>
      <c r="I32" s="8">
        <f>IFERROR(H32/G32,"")</f>
        <v/>
      </c>
    </row>
    <row r="33">
      <c r="A33" s="3">
        <f>Справочник!$B$11</f>
        <v/>
      </c>
      <c r="B33" s="8">
        <f>IF(C32="","",1/C32)</f>
        <v/>
      </c>
      <c r="C33" s="6" t="n">
        <v>1</v>
      </c>
      <c r="D33" s="7" t="n"/>
      <c r="E33" s="7" t="n"/>
      <c r="F33" s="8">
        <f>IF(COUNT(B33:E33)&lt;4,"",GEOMEAN(B33:E33))</f>
        <v/>
      </c>
      <c r="G33" s="9">
        <f>IFERROR(F33/SUM($F$32:$F$35),"")</f>
        <v/>
      </c>
      <c r="H33" s="8">
        <f>IFERROR(B33*$G$32+C33*$G$33+D33*$G$34+E33*$G$35,"")</f>
        <v/>
      </c>
      <c r="I33" s="8">
        <f>IFERROR(H33/G33,"")</f>
        <v/>
      </c>
    </row>
    <row r="34">
      <c r="A34" s="3">
        <f>Справочник!$B$12</f>
        <v/>
      </c>
      <c r="B34" s="8">
        <f>IF(D32="","",1/D32)</f>
        <v/>
      </c>
      <c r="C34" s="8">
        <f>IF(D33="","",1/D33)</f>
        <v/>
      </c>
      <c r="D34" s="6" t="n">
        <v>1</v>
      </c>
      <c r="E34" s="7" t="n"/>
      <c r="F34" s="8">
        <f>IF(COUNT(B34:E34)&lt;4,"",GEOMEAN(B34:E34))</f>
        <v/>
      </c>
      <c r="G34" s="9">
        <f>IFERROR(F34/SUM($F$32:$F$35),"")</f>
        <v/>
      </c>
      <c r="H34" s="8">
        <f>IFERROR(B34*$G$32+C34*$G$33+D34*$G$34+E34*$G$35,"")</f>
        <v/>
      </c>
      <c r="I34" s="8">
        <f>IFERROR(H34/G34,"")</f>
        <v/>
      </c>
    </row>
    <row r="35">
      <c r="A35" s="3">
        <f>Справочник!$B$13</f>
        <v/>
      </c>
      <c r="B35" s="8">
        <f>IF(E32="","",1/E32)</f>
        <v/>
      </c>
      <c r="C35" s="8">
        <f>IF(E33="","",1/E33)</f>
        <v/>
      </c>
      <c r="D35" s="8">
        <f>IF(E34="","",1/E34)</f>
        <v/>
      </c>
      <c r="E35" s="6" t="n">
        <v>1</v>
      </c>
      <c r="F35" s="8">
        <f>IF(COUNT(B35:E35)&lt;4,"",GEOMEAN(B35:E35))</f>
        <v/>
      </c>
      <c r="G35" s="9">
        <f>IFERROR(F35/SUM($F$32:$F$35),"")</f>
        <v/>
      </c>
      <c r="H35" s="8">
        <f>IFERROR(B35*$G$32+C35*$G$33+D35*$G$34+E35*$G$35,"")</f>
        <v/>
      </c>
      <c r="I35" s="8">
        <f>IFERROR(H35/G35,"")</f>
        <v/>
      </c>
    </row>
    <row r="36">
      <c r="A36" s="3" t="inlineStr">
        <is>
          <t>lambda max</t>
        </is>
      </c>
      <c r="B36" s="8">
        <f>IF(COUNT(I32:I35)&lt;4,"",AVERAGE(I32:I35))</f>
        <v/>
      </c>
      <c r="C36" s="3" t="inlineStr">
        <is>
          <t>CI</t>
        </is>
      </c>
      <c r="D36" s="8">
        <f>IFERROR((B36-4)/(4-1),"")</f>
        <v/>
      </c>
      <c r="E36" s="3" t="inlineStr">
        <is>
          <t>CR (RI=0.9)</t>
        </is>
      </c>
      <c r="F36" s="10">
        <f>IFERROR(D36/0.9,"")</f>
        <v/>
      </c>
      <c r="G36">
        <f>IF(F36="","заполните матрицу",IF(F36&lt;=0.1,"согласовано","CR &gt; 0,1: пересмотреть"))</f>
        <v/>
      </c>
    </row>
    <row r="43">
      <c r="A43" s="2">
        <f>"Альтернативы по критерию: "&amp;Справочник!$B$19</f>
        <v/>
      </c>
    </row>
    <row r="44" ht="45" customHeight="1">
      <c r="A44" s="4" t="inlineStr"/>
      <c r="B44" s="5">
        <f>Справочник!$B$10</f>
        <v/>
      </c>
      <c r="C44" s="5">
        <f>Справочник!$B$11</f>
        <v/>
      </c>
      <c r="D44" s="5">
        <f>Справочник!$B$12</f>
        <v/>
      </c>
      <c r="E44" s="5">
        <f>Справочник!$B$13</f>
        <v/>
      </c>
      <c r="F44" s="5" t="inlineStr">
        <is>
          <t>Среднее геом. строки</t>
        </is>
      </c>
      <c r="G44" s="5" t="inlineStr">
        <is>
          <t>Вес w</t>
        </is>
      </c>
      <c r="H44" s="5" t="inlineStr">
        <is>
          <t>(A*w)i</t>
        </is>
      </c>
      <c r="I44" s="5" t="inlineStr">
        <is>
          <t>(A*w)i / wi</t>
        </is>
      </c>
    </row>
    <row r="45">
      <c r="A45" s="3">
        <f>Справочник!$B$10</f>
        <v/>
      </c>
      <c r="B45" s="6" t="n">
        <v>1</v>
      </c>
      <c r="C45" s="7" t="n"/>
      <c r="D45" s="7" t="n"/>
      <c r="E45" s="7" t="n"/>
      <c r="F45" s="8">
        <f>IF(COUNT(B45:E45)&lt;4,"",GEOMEAN(B45:E45))</f>
        <v/>
      </c>
      <c r="G45" s="9">
        <f>IFERROR(F45/SUM($F$45:$F$48),"")</f>
        <v/>
      </c>
      <c r="H45" s="8">
        <f>IFERROR(B45*$G$45+C45*$G$46+D45*$G$47+E45*$G$48,"")</f>
        <v/>
      </c>
      <c r="I45" s="8">
        <f>IFERROR(H45/G45,"")</f>
        <v/>
      </c>
    </row>
    <row r="46">
      <c r="A46" s="3">
        <f>Справочник!$B$11</f>
        <v/>
      </c>
      <c r="B46" s="8">
        <f>IF(C45="","",1/C45)</f>
        <v/>
      </c>
      <c r="C46" s="6" t="n">
        <v>1</v>
      </c>
      <c r="D46" s="7" t="n"/>
      <c r="E46" s="7" t="n"/>
      <c r="F46" s="8">
        <f>IF(COUNT(B46:E46)&lt;4,"",GEOMEAN(B46:E46))</f>
        <v/>
      </c>
      <c r="G46" s="9">
        <f>IFERROR(F46/SUM($F$45:$F$48),"")</f>
        <v/>
      </c>
      <c r="H46" s="8">
        <f>IFERROR(B46*$G$45+C46*$G$46+D46*$G$47+E46*$G$48,"")</f>
        <v/>
      </c>
      <c r="I46" s="8">
        <f>IFERROR(H46/G46,"")</f>
        <v/>
      </c>
    </row>
    <row r="47">
      <c r="A47" s="3">
        <f>Справочник!$B$12</f>
        <v/>
      </c>
      <c r="B47" s="8">
        <f>IF(D45="","",1/D45)</f>
        <v/>
      </c>
      <c r="C47" s="8">
        <f>IF(D46="","",1/D46)</f>
        <v/>
      </c>
      <c r="D47" s="6" t="n">
        <v>1</v>
      </c>
      <c r="E47" s="7" t="n"/>
      <c r="F47" s="8">
        <f>IF(COUNT(B47:E47)&lt;4,"",GEOMEAN(B47:E47))</f>
        <v/>
      </c>
      <c r="G47" s="9">
        <f>IFERROR(F47/SUM($F$45:$F$48),"")</f>
        <v/>
      </c>
      <c r="H47" s="8">
        <f>IFERROR(B47*$G$45+C47*$G$46+D47*$G$47+E47*$G$48,"")</f>
        <v/>
      </c>
      <c r="I47" s="8">
        <f>IFERROR(H47/G47,"")</f>
        <v/>
      </c>
    </row>
    <row r="48">
      <c r="A48" s="3">
        <f>Справочник!$B$13</f>
        <v/>
      </c>
      <c r="B48" s="8">
        <f>IF(E45="","",1/E45)</f>
        <v/>
      </c>
      <c r="C48" s="8">
        <f>IF(E46="","",1/E46)</f>
        <v/>
      </c>
      <c r="D48" s="8">
        <f>IF(E47="","",1/E47)</f>
        <v/>
      </c>
      <c r="E48" s="6" t="n">
        <v>1</v>
      </c>
      <c r="F48" s="8">
        <f>IF(COUNT(B48:E48)&lt;4,"",GEOMEAN(B48:E48))</f>
        <v/>
      </c>
      <c r="G48" s="9">
        <f>IFERROR(F48/SUM($F$45:$F$48),"")</f>
        <v/>
      </c>
      <c r="H48" s="8">
        <f>IFERROR(B48*$G$45+C48*$G$46+D48*$G$47+E48*$G$48,"")</f>
        <v/>
      </c>
      <c r="I48" s="8">
        <f>IFERROR(H48/G48,"")</f>
        <v/>
      </c>
    </row>
    <row r="49">
      <c r="A49" s="3" t="inlineStr">
        <is>
          <t>lambda max</t>
        </is>
      </c>
      <c r="B49" s="8">
        <f>IF(COUNT(I45:I48)&lt;4,"",AVERAGE(I45:I48))</f>
        <v/>
      </c>
      <c r="C49" s="3" t="inlineStr">
        <is>
          <t>CI</t>
        </is>
      </c>
      <c r="D49" s="8">
        <f>IFERROR((B49-4)/(4-1),"")</f>
        <v/>
      </c>
      <c r="E49" s="3" t="inlineStr">
        <is>
          <t>CR (RI=0.9)</t>
        </is>
      </c>
      <c r="F49" s="10">
        <f>IFERROR(D49/0.9,"")</f>
        <v/>
      </c>
      <c r="G49">
        <f>IF(F49="","заполните матрицу",IF(F49&lt;=0.1,"согласовано","CR &gt; 0,1: пересмотреть"))</f>
        <v/>
      </c>
    </row>
    <row r="56">
      <c r="A56" s="2">
        <f>"Альтернативы по критерию: "&amp;Справочник!$B$20</f>
        <v/>
      </c>
    </row>
    <row r="57" ht="45" customHeight="1">
      <c r="A57" s="4" t="inlineStr"/>
      <c r="B57" s="5">
        <f>Справочник!$B$10</f>
        <v/>
      </c>
      <c r="C57" s="5">
        <f>Справочник!$B$11</f>
        <v/>
      </c>
      <c r="D57" s="5">
        <f>Справочник!$B$12</f>
        <v/>
      </c>
      <c r="E57" s="5">
        <f>Справочник!$B$13</f>
        <v/>
      </c>
      <c r="F57" s="5" t="inlineStr">
        <is>
          <t>Среднее геом. строки</t>
        </is>
      </c>
      <c r="G57" s="5" t="inlineStr">
        <is>
          <t>Вес w</t>
        </is>
      </c>
      <c r="H57" s="5" t="inlineStr">
        <is>
          <t>(A*w)i</t>
        </is>
      </c>
      <c r="I57" s="5" t="inlineStr">
        <is>
          <t>(A*w)i / wi</t>
        </is>
      </c>
    </row>
    <row r="58">
      <c r="A58" s="3">
        <f>Справочник!$B$10</f>
        <v/>
      </c>
      <c r="B58" s="6" t="n">
        <v>1</v>
      </c>
      <c r="C58" s="7" t="n"/>
      <c r="D58" s="7" t="n"/>
      <c r="E58" s="7" t="n"/>
      <c r="F58" s="8">
        <f>IF(COUNT(B58:E58)&lt;4,"",GEOMEAN(B58:E58))</f>
        <v/>
      </c>
      <c r="G58" s="9">
        <f>IFERROR(F58/SUM($F$58:$F$61),"")</f>
        <v/>
      </c>
      <c r="H58" s="8">
        <f>IFERROR(B58*$G$58+C58*$G$59+D58*$G$60+E58*$G$61,"")</f>
        <v/>
      </c>
      <c r="I58" s="8">
        <f>IFERROR(H58/G58,"")</f>
        <v/>
      </c>
    </row>
    <row r="59">
      <c r="A59" s="3">
        <f>Справочник!$B$11</f>
        <v/>
      </c>
      <c r="B59" s="8">
        <f>IF(C58="","",1/C58)</f>
        <v/>
      </c>
      <c r="C59" s="6" t="n">
        <v>1</v>
      </c>
      <c r="D59" s="7" t="n"/>
      <c r="E59" s="7" t="n"/>
      <c r="F59" s="8">
        <f>IF(COUNT(B59:E59)&lt;4,"",GEOMEAN(B59:E59))</f>
        <v/>
      </c>
      <c r="G59" s="9">
        <f>IFERROR(F59/SUM($F$58:$F$61),"")</f>
        <v/>
      </c>
      <c r="H59" s="8">
        <f>IFERROR(B59*$G$58+C59*$G$59+D59*$G$60+E59*$G$61,"")</f>
        <v/>
      </c>
      <c r="I59" s="8">
        <f>IFERROR(H59/G59,"")</f>
        <v/>
      </c>
    </row>
    <row r="60">
      <c r="A60" s="3">
        <f>Справочник!$B$12</f>
        <v/>
      </c>
      <c r="B60" s="8">
        <f>IF(D58="","",1/D58)</f>
        <v/>
      </c>
      <c r="C60" s="8">
        <f>IF(D59="","",1/D59)</f>
        <v/>
      </c>
      <c r="D60" s="6" t="n">
        <v>1</v>
      </c>
      <c r="E60" s="7" t="n"/>
      <c r="F60" s="8">
        <f>IF(COUNT(B60:E60)&lt;4,"",GEOMEAN(B60:E60))</f>
        <v/>
      </c>
      <c r="G60" s="9">
        <f>IFERROR(F60/SUM($F$58:$F$61),"")</f>
        <v/>
      </c>
      <c r="H60" s="8">
        <f>IFERROR(B60*$G$58+C60*$G$59+D60*$G$60+E60*$G$61,"")</f>
        <v/>
      </c>
      <c r="I60" s="8">
        <f>IFERROR(H60/G60,"")</f>
        <v/>
      </c>
    </row>
    <row r="61">
      <c r="A61" s="3">
        <f>Справочник!$B$13</f>
        <v/>
      </c>
      <c r="B61" s="8">
        <f>IF(E58="","",1/E58)</f>
        <v/>
      </c>
      <c r="C61" s="8">
        <f>IF(E59="","",1/E59)</f>
        <v/>
      </c>
      <c r="D61" s="8">
        <f>IF(E60="","",1/E60)</f>
        <v/>
      </c>
      <c r="E61" s="6" t="n">
        <v>1</v>
      </c>
      <c r="F61" s="8">
        <f>IF(COUNT(B61:E61)&lt;4,"",GEOMEAN(B61:E61))</f>
        <v/>
      </c>
      <c r="G61" s="9">
        <f>IFERROR(F61/SUM($F$58:$F$61),"")</f>
        <v/>
      </c>
      <c r="H61" s="8">
        <f>IFERROR(B61*$G$58+C61*$G$59+D61*$G$60+E61*$G$61,"")</f>
        <v/>
      </c>
      <c r="I61" s="8">
        <f>IFERROR(H61/G61,"")</f>
        <v/>
      </c>
    </row>
    <row r="62">
      <c r="A62" s="3" t="inlineStr">
        <is>
          <t>lambda max</t>
        </is>
      </c>
      <c r="B62" s="8">
        <f>IF(COUNT(I58:I61)&lt;4,"",AVERAGE(I58:I61))</f>
        <v/>
      </c>
      <c r="C62" s="3" t="inlineStr">
        <is>
          <t>CI</t>
        </is>
      </c>
      <c r="D62" s="8">
        <f>IFERROR((B62-4)/(4-1),"")</f>
        <v/>
      </c>
      <c r="E62" s="3" t="inlineStr">
        <is>
          <t>CR (RI=0.9)</t>
        </is>
      </c>
      <c r="F62" s="10">
        <f>IFERROR(D62/0.9,"")</f>
        <v/>
      </c>
      <c r="G62">
        <f>IF(F62="","заполните матрицу",IF(F62&lt;=0.1,"согласовано","CR &gt; 0,1: пересмотреть"))</f>
        <v/>
      </c>
    </row>
    <row r="69">
      <c r="A69" s="2">
        <f>"Альтернативы по критерию: "&amp;Справочник!$B$21</f>
        <v/>
      </c>
    </row>
    <row r="70" ht="45" customHeight="1">
      <c r="A70" s="4" t="inlineStr"/>
      <c r="B70" s="5">
        <f>Справочник!$B$10</f>
        <v/>
      </c>
      <c r="C70" s="5">
        <f>Справочник!$B$11</f>
        <v/>
      </c>
      <c r="D70" s="5">
        <f>Справочник!$B$12</f>
        <v/>
      </c>
      <c r="E70" s="5">
        <f>Справочник!$B$13</f>
        <v/>
      </c>
      <c r="F70" s="5" t="inlineStr">
        <is>
          <t>Среднее геом. строки</t>
        </is>
      </c>
      <c r="G70" s="5" t="inlineStr">
        <is>
          <t>Вес w</t>
        </is>
      </c>
      <c r="H70" s="5" t="inlineStr">
        <is>
          <t>(A*w)i</t>
        </is>
      </c>
      <c r="I70" s="5" t="inlineStr">
        <is>
          <t>(A*w)i / wi</t>
        </is>
      </c>
    </row>
    <row r="71">
      <c r="A71" s="3">
        <f>Справочник!$B$10</f>
        <v/>
      </c>
      <c r="B71" s="6" t="n">
        <v>1</v>
      </c>
      <c r="C71" s="7" t="n"/>
      <c r="D71" s="7" t="n"/>
      <c r="E71" s="7" t="n"/>
      <c r="F71" s="8">
        <f>IF(COUNT(B71:E71)&lt;4,"",GEOMEAN(B71:E71))</f>
        <v/>
      </c>
      <c r="G71" s="9">
        <f>IFERROR(F71/SUM($F$71:$F$74),"")</f>
        <v/>
      </c>
      <c r="H71" s="8">
        <f>IFERROR(B71*$G$71+C71*$G$72+D71*$G$73+E71*$G$74,"")</f>
        <v/>
      </c>
      <c r="I71" s="8">
        <f>IFERROR(H71/G71,"")</f>
        <v/>
      </c>
    </row>
    <row r="72">
      <c r="A72" s="3">
        <f>Справочник!$B$11</f>
        <v/>
      </c>
      <c r="B72" s="8">
        <f>IF(C71="","",1/C71)</f>
        <v/>
      </c>
      <c r="C72" s="6" t="n">
        <v>1</v>
      </c>
      <c r="D72" s="7" t="n"/>
      <c r="E72" s="7" t="n"/>
      <c r="F72" s="8">
        <f>IF(COUNT(B72:E72)&lt;4,"",GEOMEAN(B72:E72))</f>
        <v/>
      </c>
      <c r="G72" s="9">
        <f>IFERROR(F72/SUM($F$71:$F$74),"")</f>
        <v/>
      </c>
      <c r="H72" s="8">
        <f>IFERROR(B72*$G$71+C72*$G$72+D72*$G$73+E72*$G$74,"")</f>
        <v/>
      </c>
      <c r="I72" s="8">
        <f>IFERROR(H72/G72,"")</f>
        <v/>
      </c>
    </row>
    <row r="73">
      <c r="A73" s="3">
        <f>Справочник!$B$12</f>
        <v/>
      </c>
      <c r="B73" s="8">
        <f>IF(D71="","",1/D71)</f>
        <v/>
      </c>
      <c r="C73" s="8">
        <f>IF(D72="","",1/D72)</f>
        <v/>
      </c>
      <c r="D73" s="6" t="n">
        <v>1</v>
      </c>
      <c r="E73" s="7" t="n"/>
      <c r="F73" s="8">
        <f>IF(COUNT(B73:E73)&lt;4,"",GEOMEAN(B73:E73))</f>
        <v/>
      </c>
      <c r="G73" s="9">
        <f>IFERROR(F73/SUM($F$71:$F$74),"")</f>
        <v/>
      </c>
      <c r="H73" s="8">
        <f>IFERROR(B73*$G$71+C73*$G$72+D73*$G$73+E73*$G$74,"")</f>
        <v/>
      </c>
      <c r="I73" s="8">
        <f>IFERROR(H73/G73,"")</f>
        <v/>
      </c>
    </row>
    <row r="74">
      <c r="A74" s="3">
        <f>Справочник!$B$13</f>
        <v/>
      </c>
      <c r="B74" s="8">
        <f>IF(E71="","",1/E71)</f>
        <v/>
      </c>
      <c r="C74" s="8">
        <f>IF(E72="","",1/E72)</f>
        <v/>
      </c>
      <c r="D74" s="8">
        <f>IF(E73="","",1/E73)</f>
        <v/>
      </c>
      <c r="E74" s="6" t="n">
        <v>1</v>
      </c>
      <c r="F74" s="8">
        <f>IF(COUNT(B74:E74)&lt;4,"",GEOMEAN(B74:E74))</f>
        <v/>
      </c>
      <c r="G74" s="9">
        <f>IFERROR(F74/SUM($F$71:$F$74),"")</f>
        <v/>
      </c>
      <c r="H74" s="8">
        <f>IFERROR(B74*$G$71+C74*$G$72+D74*$G$73+E74*$G$74,"")</f>
        <v/>
      </c>
      <c r="I74" s="8">
        <f>IFERROR(H74/G74,"")</f>
        <v/>
      </c>
    </row>
    <row r="75">
      <c r="A75" s="3" t="inlineStr">
        <is>
          <t>lambda max</t>
        </is>
      </c>
      <c r="B75" s="8">
        <f>IF(COUNT(I71:I74)&lt;4,"",AVERAGE(I71:I74))</f>
        <v/>
      </c>
      <c r="C75" s="3" t="inlineStr">
        <is>
          <t>CI</t>
        </is>
      </c>
      <c r="D75" s="8">
        <f>IFERROR((B75-4)/(4-1),"")</f>
        <v/>
      </c>
      <c r="E75" s="3" t="inlineStr">
        <is>
          <t>CR (RI=0.9)</t>
        </is>
      </c>
      <c r="F75" s="10">
        <f>IFERROR(D75/0.9,"")</f>
        <v/>
      </c>
      <c r="G75">
        <f>IF(F75="","заполните матрицу",IF(F75&lt;=0.1,"согласовано","CR &gt; 0,1: пересмотреть"))</f>
        <v/>
      </c>
    </row>
  </sheetData>
  <dataValidations count="1">
    <dataValidation sqref="C6 C19 C32 C45 C58 C71 D6 D7 D19 D20 D32 D33 D45 D46 D58 D59 D71 D72 E6 E7 E8 E19 E20 E21 E32 E33 E34 E45 E46 E47 E58 E59 E60 E71 E72 E73 F6 F7 F8 F9" showDropDown="0" showInputMessage="0" showErrorMessage="1" allowBlank="0" error="Число от 1/9 до 9 (обратные вводить формулой, например =1/3)" type="decimal" operator="between">
      <formula1>0.111</formula1>
      <formula2>9</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Четкий коллективный МАИ: агрегирование индивидуальных суждений средним геометрическим (AIJ)</t>
        </is>
      </c>
    </row>
    <row r="2">
      <c r="A2" t="inlineStr">
        <is>
          <t>a_ij = GEOMEAN(a_ij эксперта 1, 2, 3); веса - нормированное среднее геометрическое строк; CR = CI/RI</t>
        </is>
      </c>
    </row>
    <row r="4">
      <c r="A4" s="2" t="inlineStr">
        <is>
          <t>Критерии (относительно цели: выбор концепции)</t>
        </is>
      </c>
    </row>
    <row r="5" ht="45" customHeight="1">
      <c r="A5" s="4" t="inlineStr"/>
      <c r="B5" s="5">
        <f>Справочник!$B$17</f>
        <v/>
      </c>
      <c r="C5" s="5">
        <f>Справочник!$B$18</f>
        <v/>
      </c>
      <c r="D5" s="5">
        <f>Справочник!$B$19</f>
        <v/>
      </c>
      <c r="E5" s="5">
        <f>Справочник!$B$20</f>
        <v/>
      </c>
      <c r="F5" s="5">
        <f>Справочник!$B$21</f>
        <v/>
      </c>
      <c r="G5" s="5" t="inlineStr">
        <is>
          <t>Среднее геом. строки</t>
        </is>
      </c>
      <c r="H5" s="5" t="inlineStr">
        <is>
          <t>Вес w</t>
        </is>
      </c>
      <c r="I5" s="5" t="inlineStr">
        <is>
          <t>(A*w)i</t>
        </is>
      </c>
      <c r="J5" s="5" t="inlineStr">
        <is>
          <t>(A*w)i / wi</t>
        </is>
      </c>
    </row>
    <row r="6">
      <c r="A6" s="3">
        <f>Справочник!$B$17</f>
        <v/>
      </c>
      <c r="B6" s="6">
        <f>IF(COUNT(Эксперт1!B6,Эксперт2!B6,Эксперт3!B6)&lt;3,"",GEOMEAN(Эксперт1!B6,Эксперт2!B6,Эксперт3!B6))</f>
        <v/>
      </c>
      <c r="C6" s="8">
        <f>IF(COUNT(Эксперт1!C6,Эксперт2!C6,Эксперт3!C6)&lt;3,"",GEOMEAN(Эксперт1!C6,Эксперт2!C6,Эксперт3!C6))</f>
        <v/>
      </c>
      <c r="D6" s="8">
        <f>IF(COUNT(Эксперт1!D6,Эксперт2!D6,Эксперт3!D6)&lt;3,"",GEOMEAN(Эксперт1!D6,Эксперт2!D6,Эксперт3!D6))</f>
        <v/>
      </c>
      <c r="E6" s="8">
        <f>IF(COUNT(Эксперт1!E6,Эксперт2!E6,Эксперт3!E6)&lt;3,"",GEOMEAN(Эксперт1!E6,Эксперт2!E6,Эксперт3!E6))</f>
        <v/>
      </c>
      <c r="F6" s="8">
        <f>IF(COUNT(Эксперт1!F6,Эксперт2!F6,Эксперт3!F6)&lt;3,"",GEOMEAN(Эксперт1!F6,Эксперт2!F6,Эксперт3!F6))</f>
        <v/>
      </c>
      <c r="G6" s="8">
        <f>IF(COUNT(B6:F6)&lt;5,"",GEOMEAN(B6:F6))</f>
        <v/>
      </c>
      <c r="H6" s="9">
        <f>IFERROR(G6/SUM($G$6:$G$10),"")</f>
        <v/>
      </c>
      <c r="I6" s="8">
        <f>IFERROR(B6*$H$6+C6*$H$7+D6*$H$8+E6*$H$9+F6*$H$10,"")</f>
        <v/>
      </c>
      <c r="J6" s="8">
        <f>IFERROR(I6/H6,"")</f>
        <v/>
      </c>
    </row>
    <row r="7">
      <c r="A7" s="3">
        <f>Справочник!$B$18</f>
        <v/>
      </c>
      <c r="B7" s="8">
        <f>IF(COUNT(Эксперт1!B7,Эксперт2!B7,Эксперт3!B7)&lt;3,"",GEOMEAN(Эксперт1!B7,Эксперт2!B7,Эксперт3!B7))</f>
        <v/>
      </c>
      <c r="C7" s="6">
        <f>IF(COUNT(Эксперт1!C7,Эксперт2!C7,Эксперт3!C7)&lt;3,"",GEOMEAN(Эксперт1!C7,Эксперт2!C7,Эксперт3!C7))</f>
        <v/>
      </c>
      <c r="D7" s="8">
        <f>IF(COUNT(Эксперт1!D7,Эксперт2!D7,Эксперт3!D7)&lt;3,"",GEOMEAN(Эксперт1!D7,Эксперт2!D7,Эксперт3!D7))</f>
        <v/>
      </c>
      <c r="E7" s="8">
        <f>IF(COUNT(Эксперт1!E7,Эксперт2!E7,Эксперт3!E7)&lt;3,"",GEOMEAN(Эксперт1!E7,Эксперт2!E7,Эксперт3!E7))</f>
        <v/>
      </c>
      <c r="F7" s="8">
        <f>IF(COUNT(Эксперт1!F7,Эксперт2!F7,Эксперт3!F7)&lt;3,"",GEOMEAN(Эксперт1!F7,Эксперт2!F7,Эксперт3!F7))</f>
        <v/>
      </c>
      <c r="G7" s="8">
        <f>IF(COUNT(B7:F7)&lt;5,"",GEOMEAN(B7:F7))</f>
        <v/>
      </c>
      <c r="H7" s="9">
        <f>IFERROR(G7/SUM($G$6:$G$10),"")</f>
        <v/>
      </c>
      <c r="I7" s="8">
        <f>IFERROR(B7*$H$6+C7*$H$7+D7*$H$8+E7*$H$9+F7*$H$10,"")</f>
        <v/>
      </c>
      <c r="J7" s="8">
        <f>IFERROR(I7/H7,"")</f>
        <v/>
      </c>
    </row>
    <row r="8">
      <c r="A8" s="3">
        <f>Справочник!$B$19</f>
        <v/>
      </c>
      <c r="B8" s="8">
        <f>IF(COUNT(Эксперт1!B8,Эксперт2!B8,Эксперт3!B8)&lt;3,"",GEOMEAN(Эксперт1!B8,Эксперт2!B8,Эксперт3!B8))</f>
        <v/>
      </c>
      <c r="C8" s="8">
        <f>IF(COUNT(Эксперт1!C8,Эксперт2!C8,Эксперт3!C8)&lt;3,"",GEOMEAN(Эксперт1!C8,Эксперт2!C8,Эксперт3!C8))</f>
        <v/>
      </c>
      <c r="D8" s="6">
        <f>IF(COUNT(Эксперт1!D8,Эксперт2!D8,Эксперт3!D8)&lt;3,"",GEOMEAN(Эксперт1!D8,Эксперт2!D8,Эксперт3!D8))</f>
        <v/>
      </c>
      <c r="E8" s="8">
        <f>IF(COUNT(Эксперт1!E8,Эксперт2!E8,Эксперт3!E8)&lt;3,"",GEOMEAN(Эксперт1!E8,Эксперт2!E8,Эксперт3!E8))</f>
        <v/>
      </c>
      <c r="F8" s="8">
        <f>IF(COUNT(Эксперт1!F8,Эксперт2!F8,Эксперт3!F8)&lt;3,"",GEOMEAN(Эксперт1!F8,Эксперт2!F8,Эксперт3!F8))</f>
        <v/>
      </c>
      <c r="G8" s="8">
        <f>IF(COUNT(B8:F8)&lt;5,"",GEOMEAN(B8:F8))</f>
        <v/>
      </c>
      <c r="H8" s="9">
        <f>IFERROR(G8/SUM($G$6:$G$10),"")</f>
        <v/>
      </c>
      <c r="I8" s="8">
        <f>IFERROR(B8*$H$6+C8*$H$7+D8*$H$8+E8*$H$9+F8*$H$10,"")</f>
        <v/>
      </c>
      <c r="J8" s="8">
        <f>IFERROR(I8/H8,"")</f>
        <v/>
      </c>
    </row>
    <row r="9">
      <c r="A9" s="3">
        <f>Справочник!$B$20</f>
        <v/>
      </c>
      <c r="B9" s="8">
        <f>IF(COUNT(Эксперт1!B9,Эксперт2!B9,Эксперт3!B9)&lt;3,"",GEOMEAN(Эксперт1!B9,Эксперт2!B9,Эксперт3!B9))</f>
        <v/>
      </c>
      <c r="C9" s="8">
        <f>IF(COUNT(Эксперт1!C9,Эксперт2!C9,Эксперт3!C9)&lt;3,"",GEOMEAN(Эксперт1!C9,Эксперт2!C9,Эксперт3!C9))</f>
        <v/>
      </c>
      <c r="D9" s="8">
        <f>IF(COUNT(Эксперт1!D9,Эксперт2!D9,Эксперт3!D9)&lt;3,"",GEOMEAN(Эксперт1!D9,Эксперт2!D9,Эксперт3!D9))</f>
        <v/>
      </c>
      <c r="E9" s="6">
        <f>IF(COUNT(Эксперт1!E9,Эксперт2!E9,Эксперт3!E9)&lt;3,"",GEOMEAN(Эксперт1!E9,Эксперт2!E9,Эксперт3!E9))</f>
        <v/>
      </c>
      <c r="F9" s="8">
        <f>IF(COUNT(Эксперт1!F9,Эксперт2!F9,Эксперт3!F9)&lt;3,"",GEOMEAN(Эксперт1!F9,Эксперт2!F9,Эксперт3!F9))</f>
        <v/>
      </c>
      <c r="G9" s="8">
        <f>IF(COUNT(B9:F9)&lt;5,"",GEOMEAN(B9:F9))</f>
        <v/>
      </c>
      <c r="H9" s="9">
        <f>IFERROR(G9/SUM($G$6:$G$10),"")</f>
        <v/>
      </c>
      <c r="I9" s="8">
        <f>IFERROR(B9*$H$6+C9*$H$7+D9*$H$8+E9*$H$9+F9*$H$10,"")</f>
        <v/>
      </c>
      <c r="J9" s="8">
        <f>IFERROR(I9/H9,"")</f>
        <v/>
      </c>
    </row>
    <row r="10">
      <c r="A10" s="3">
        <f>Справочник!$B$21</f>
        <v/>
      </c>
      <c r="B10" s="8">
        <f>IF(COUNT(Эксперт1!B10,Эксперт2!B10,Эксперт3!B10)&lt;3,"",GEOMEAN(Эксперт1!B10,Эксперт2!B10,Эксперт3!B10))</f>
        <v/>
      </c>
      <c r="C10" s="8">
        <f>IF(COUNT(Эксперт1!C10,Эксперт2!C10,Эксперт3!C10)&lt;3,"",GEOMEAN(Эксперт1!C10,Эксперт2!C10,Эксперт3!C10))</f>
        <v/>
      </c>
      <c r="D10" s="8">
        <f>IF(COUNT(Эксперт1!D10,Эксперт2!D10,Эксперт3!D10)&lt;3,"",GEOMEAN(Эксперт1!D10,Эксперт2!D10,Эксперт3!D10))</f>
        <v/>
      </c>
      <c r="E10" s="8">
        <f>IF(COUNT(Эксперт1!E10,Эксперт2!E10,Эксперт3!E10)&lt;3,"",GEOMEAN(Эксперт1!E10,Эксперт2!E10,Эксперт3!E10))</f>
        <v/>
      </c>
      <c r="F10" s="6">
        <f>IF(COUNT(Эксперт1!F10,Эксперт2!F10,Эксперт3!F10)&lt;3,"",GEOMEAN(Эксперт1!F10,Эксперт2!F10,Эксперт3!F10))</f>
        <v/>
      </c>
      <c r="G10" s="8">
        <f>IF(COUNT(B10:F10)&lt;5,"",GEOMEAN(B10:F10))</f>
        <v/>
      </c>
      <c r="H10" s="9">
        <f>IFERROR(G10/SUM($G$6:$G$10),"")</f>
        <v/>
      </c>
      <c r="I10" s="8">
        <f>IFERROR(B10*$H$6+C10*$H$7+D10*$H$8+E10*$H$9+F10*$H$10,"")</f>
        <v/>
      </c>
      <c r="J10" s="8">
        <f>IFERROR(I10/H10,"")</f>
        <v/>
      </c>
    </row>
    <row r="11">
      <c r="A11" s="3" t="inlineStr">
        <is>
          <t>lambda max</t>
        </is>
      </c>
      <c r="B11" s="8">
        <f>IF(COUNT(J6:J10)&lt;5,"",AVERAGE(J6:J10))</f>
        <v/>
      </c>
      <c r="C11" s="3" t="inlineStr">
        <is>
          <t>CI</t>
        </is>
      </c>
      <c r="D11" s="8">
        <f>IFERROR((B11-5)/(5-1),"")</f>
        <v/>
      </c>
      <c r="E11" s="3" t="inlineStr">
        <is>
          <t>CR (RI=1.12)</t>
        </is>
      </c>
      <c r="F11" s="10">
        <f>IFERROR(D11/1.12,"")</f>
        <v/>
      </c>
      <c r="G11">
        <f>IF(F11="","заполните матрицу",IF(F11&lt;=0.1,"согласовано","CR &gt; 0,1: пересмотреть"))</f>
        <v/>
      </c>
    </row>
    <row r="17">
      <c r="A17" s="2">
        <f>"Альтернативы по критерию: "&amp;Справочник!$B$17</f>
        <v/>
      </c>
    </row>
    <row r="18" ht="45" customHeight="1">
      <c r="A18" s="4" t="inlineStr"/>
      <c r="B18" s="5">
        <f>Справочник!$B$10</f>
        <v/>
      </c>
      <c r="C18" s="5">
        <f>Справочник!$B$11</f>
        <v/>
      </c>
      <c r="D18" s="5">
        <f>Справочник!$B$12</f>
        <v/>
      </c>
      <c r="E18" s="5">
        <f>Справочник!$B$13</f>
        <v/>
      </c>
      <c r="F18" s="5" t="inlineStr">
        <is>
          <t>Среднее геом. строки</t>
        </is>
      </c>
      <c r="G18" s="5" t="inlineStr">
        <is>
          <t>Вес w</t>
        </is>
      </c>
      <c r="H18" s="5" t="inlineStr">
        <is>
          <t>(A*w)i</t>
        </is>
      </c>
      <c r="I18" s="5" t="inlineStr">
        <is>
          <t>(A*w)i / wi</t>
        </is>
      </c>
    </row>
    <row r="19">
      <c r="A19" s="3">
        <f>Справочник!$B$10</f>
        <v/>
      </c>
      <c r="B19" s="6">
        <f>IF(COUNT(Эксперт1!B19,Эксперт2!B19,Эксперт3!B19)&lt;3,"",GEOMEAN(Эксперт1!B19,Эксперт2!B19,Эксперт3!B19))</f>
        <v/>
      </c>
      <c r="C19" s="8">
        <f>IF(COUNT(Эксперт1!C19,Эксперт2!C19,Эксперт3!C19)&lt;3,"",GEOMEAN(Эксперт1!C19,Эксперт2!C19,Эксперт3!C19))</f>
        <v/>
      </c>
      <c r="D19" s="8">
        <f>IF(COUNT(Эксперт1!D19,Эксперт2!D19,Эксперт3!D19)&lt;3,"",GEOMEAN(Эксперт1!D19,Эксперт2!D19,Эксперт3!D19))</f>
        <v/>
      </c>
      <c r="E19" s="8">
        <f>IF(COUNT(Эксперт1!E19,Эксперт2!E19,Эксперт3!E19)&lt;3,"",GEOMEAN(Эксперт1!E19,Эксперт2!E19,Эксперт3!E19))</f>
        <v/>
      </c>
      <c r="F19" s="8">
        <f>IF(COUNT(B19:E19)&lt;4,"",GEOMEAN(B19:E19))</f>
        <v/>
      </c>
      <c r="G19" s="9">
        <f>IFERROR(F19/SUM($F$19:$F$22),"")</f>
        <v/>
      </c>
      <c r="H19" s="8">
        <f>IFERROR(B19*$G$19+C19*$G$20+D19*$G$21+E19*$G$22,"")</f>
        <v/>
      </c>
      <c r="I19" s="8">
        <f>IFERROR(H19/G19,"")</f>
        <v/>
      </c>
    </row>
    <row r="20">
      <c r="A20" s="3">
        <f>Справочник!$B$11</f>
        <v/>
      </c>
      <c r="B20" s="8">
        <f>IF(COUNT(Эксперт1!B20,Эксперт2!B20,Эксперт3!B20)&lt;3,"",GEOMEAN(Эксперт1!B20,Эксперт2!B20,Эксперт3!B20))</f>
        <v/>
      </c>
      <c r="C20" s="6">
        <f>IF(COUNT(Эксперт1!C20,Эксперт2!C20,Эксперт3!C20)&lt;3,"",GEOMEAN(Эксперт1!C20,Эксперт2!C20,Эксперт3!C20))</f>
        <v/>
      </c>
      <c r="D20" s="8">
        <f>IF(COUNT(Эксперт1!D20,Эксперт2!D20,Эксперт3!D20)&lt;3,"",GEOMEAN(Эксперт1!D20,Эксперт2!D20,Эксперт3!D20))</f>
        <v/>
      </c>
      <c r="E20" s="8">
        <f>IF(COUNT(Эксперт1!E20,Эксперт2!E20,Эксперт3!E20)&lt;3,"",GEOMEAN(Эксперт1!E20,Эксперт2!E20,Эксперт3!E20))</f>
        <v/>
      </c>
      <c r="F20" s="8">
        <f>IF(COUNT(B20:E20)&lt;4,"",GEOMEAN(B20:E20))</f>
        <v/>
      </c>
      <c r="G20" s="9">
        <f>IFERROR(F20/SUM($F$19:$F$22),"")</f>
        <v/>
      </c>
      <c r="H20" s="8">
        <f>IFERROR(B20*$G$19+C20*$G$20+D20*$G$21+E20*$G$22,"")</f>
        <v/>
      </c>
      <c r="I20" s="8">
        <f>IFERROR(H20/G20,"")</f>
        <v/>
      </c>
    </row>
    <row r="21">
      <c r="A21" s="3">
        <f>Справочник!$B$12</f>
        <v/>
      </c>
      <c r="B21" s="8">
        <f>IF(COUNT(Эксперт1!B21,Эксперт2!B21,Эксперт3!B21)&lt;3,"",GEOMEAN(Эксперт1!B21,Эксперт2!B21,Эксперт3!B21))</f>
        <v/>
      </c>
      <c r="C21" s="8">
        <f>IF(COUNT(Эксперт1!C21,Эксперт2!C21,Эксперт3!C21)&lt;3,"",GEOMEAN(Эксперт1!C21,Эксперт2!C21,Эксперт3!C21))</f>
        <v/>
      </c>
      <c r="D21" s="6">
        <f>IF(COUNT(Эксперт1!D21,Эксперт2!D21,Эксперт3!D21)&lt;3,"",GEOMEAN(Эксперт1!D21,Эксперт2!D21,Эксперт3!D21))</f>
        <v/>
      </c>
      <c r="E21" s="8">
        <f>IF(COUNT(Эксперт1!E21,Эксперт2!E21,Эксперт3!E21)&lt;3,"",GEOMEAN(Эксперт1!E21,Эксперт2!E21,Эксперт3!E21))</f>
        <v/>
      </c>
      <c r="F21" s="8">
        <f>IF(COUNT(B21:E21)&lt;4,"",GEOMEAN(B21:E21))</f>
        <v/>
      </c>
      <c r="G21" s="9">
        <f>IFERROR(F21/SUM($F$19:$F$22),"")</f>
        <v/>
      </c>
      <c r="H21" s="8">
        <f>IFERROR(B21*$G$19+C21*$G$20+D21*$G$21+E21*$G$22,"")</f>
        <v/>
      </c>
      <c r="I21" s="8">
        <f>IFERROR(H21/G21,"")</f>
        <v/>
      </c>
    </row>
    <row r="22">
      <c r="A22" s="3">
        <f>Справочник!$B$13</f>
        <v/>
      </c>
      <c r="B22" s="8">
        <f>IF(COUNT(Эксперт1!B22,Эксперт2!B22,Эксперт3!B22)&lt;3,"",GEOMEAN(Эксперт1!B22,Эксперт2!B22,Эксперт3!B22))</f>
        <v/>
      </c>
      <c r="C22" s="8">
        <f>IF(COUNT(Эксперт1!C22,Эксперт2!C22,Эксперт3!C22)&lt;3,"",GEOMEAN(Эксперт1!C22,Эксперт2!C22,Эксперт3!C22))</f>
        <v/>
      </c>
      <c r="D22" s="8">
        <f>IF(COUNT(Эксперт1!D22,Эксперт2!D22,Эксперт3!D22)&lt;3,"",GEOMEAN(Эксперт1!D22,Эксперт2!D22,Эксперт3!D22))</f>
        <v/>
      </c>
      <c r="E22" s="6">
        <f>IF(COUNT(Эксперт1!E22,Эксперт2!E22,Эксперт3!E22)&lt;3,"",GEOMEAN(Эксперт1!E22,Эксперт2!E22,Эксперт3!E22))</f>
        <v/>
      </c>
      <c r="F22" s="8">
        <f>IF(COUNT(B22:E22)&lt;4,"",GEOMEAN(B22:E22))</f>
        <v/>
      </c>
      <c r="G22" s="9">
        <f>IFERROR(F22/SUM($F$19:$F$22),"")</f>
        <v/>
      </c>
      <c r="H22" s="8">
        <f>IFERROR(B22*$G$19+C22*$G$20+D22*$G$21+E22*$G$22,"")</f>
        <v/>
      </c>
      <c r="I22" s="8">
        <f>IFERROR(H22/G22,"")</f>
        <v/>
      </c>
    </row>
    <row r="23">
      <c r="A23" s="3" t="inlineStr">
        <is>
          <t>lambda max</t>
        </is>
      </c>
      <c r="B23" s="8">
        <f>IF(COUNT(I19:I22)&lt;4,"",AVERAGE(I19:I22))</f>
        <v/>
      </c>
      <c r="C23" s="3" t="inlineStr">
        <is>
          <t>CI</t>
        </is>
      </c>
      <c r="D23" s="8">
        <f>IFERROR((B23-4)/(4-1),"")</f>
        <v/>
      </c>
      <c r="E23" s="3" t="inlineStr">
        <is>
          <t>CR (RI=0.9)</t>
        </is>
      </c>
      <c r="F23" s="10">
        <f>IFERROR(D23/0.9,"")</f>
        <v/>
      </c>
      <c r="G23">
        <f>IF(F23="","заполните матрицу",IF(F23&lt;=0.1,"согласовано","CR &gt; 0,1: пересмотреть"))</f>
        <v/>
      </c>
    </row>
    <row r="30">
      <c r="A30" s="2">
        <f>"Альтернативы по критерию: "&amp;Справочник!$B$18</f>
        <v/>
      </c>
    </row>
    <row r="31" ht="45" customHeight="1">
      <c r="A31" s="4" t="inlineStr"/>
      <c r="B31" s="5">
        <f>Справочник!$B$10</f>
        <v/>
      </c>
      <c r="C31" s="5">
        <f>Справочник!$B$11</f>
        <v/>
      </c>
      <c r="D31" s="5">
        <f>Справочник!$B$12</f>
        <v/>
      </c>
      <c r="E31" s="5">
        <f>Справочник!$B$13</f>
        <v/>
      </c>
      <c r="F31" s="5" t="inlineStr">
        <is>
          <t>Среднее геом. строки</t>
        </is>
      </c>
      <c r="G31" s="5" t="inlineStr">
        <is>
          <t>Вес w</t>
        </is>
      </c>
      <c r="H31" s="5" t="inlineStr">
        <is>
          <t>(A*w)i</t>
        </is>
      </c>
      <c r="I31" s="5" t="inlineStr">
        <is>
          <t>(A*w)i / wi</t>
        </is>
      </c>
    </row>
    <row r="32">
      <c r="A32" s="3">
        <f>Справочник!$B$10</f>
        <v/>
      </c>
      <c r="B32" s="6">
        <f>IF(COUNT(Эксперт1!B32,Эксперт2!B32,Эксперт3!B32)&lt;3,"",GEOMEAN(Эксперт1!B32,Эксперт2!B32,Эксперт3!B32))</f>
        <v/>
      </c>
      <c r="C32" s="8">
        <f>IF(COUNT(Эксперт1!C32,Эксперт2!C32,Эксперт3!C32)&lt;3,"",GEOMEAN(Эксперт1!C32,Эксперт2!C32,Эксперт3!C32))</f>
        <v/>
      </c>
      <c r="D32" s="8">
        <f>IF(COUNT(Эксперт1!D32,Эксперт2!D32,Эксперт3!D32)&lt;3,"",GEOMEAN(Эксперт1!D32,Эксперт2!D32,Эксперт3!D32))</f>
        <v/>
      </c>
      <c r="E32" s="8">
        <f>IF(COUNT(Эксперт1!E32,Эксперт2!E32,Эксперт3!E32)&lt;3,"",GEOMEAN(Эксперт1!E32,Эксперт2!E32,Эксперт3!E32))</f>
        <v/>
      </c>
      <c r="F32" s="8">
        <f>IF(COUNT(B32:E32)&lt;4,"",GEOMEAN(B32:E32))</f>
        <v/>
      </c>
      <c r="G32" s="9">
        <f>IFERROR(F32/SUM($F$32:$F$35),"")</f>
        <v/>
      </c>
      <c r="H32" s="8">
        <f>IFERROR(B32*$G$32+C32*$G$33+D32*$G$34+E32*$G$35,"")</f>
        <v/>
      </c>
      <c r="I32" s="8">
        <f>IFERROR(H32/G32,"")</f>
        <v/>
      </c>
    </row>
    <row r="33">
      <c r="A33" s="3">
        <f>Справочник!$B$11</f>
        <v/>
      </c>
      <c r="B33" s="8">
        <f>IF(COUNT(Эксперт1!B33,Эксперт2!B33,Эксперт3!B33)&lt;3,"",GEOMEAN(Эксперт1!B33,Эксперт2!B33,Эксперт3!B33))</f>
        <v/>
      </c>
      <c r="C33" s="6">
        <f>IF(COUNT(Эксперт1!C33,Эксперт2!C33,Эксперт3!C33)&lt;3,"",GEOMEAN(Эксперт1!C33,Эксперт2!C33,Эксперт3!C33))</f>
        <v/>
      </c>
      <c r="D33" s="8">
        <f>IF(COUNT(Эксперт1!D33,Эксперт2!D33,Эксперт3!D33)&lt;3,"",GEOMEAN(Эксперт1!D33,Эксперт2!D33,Эксперт3!D33))</f>
        <v/>
      </c>
      <c r="E33" s="8">
        <f>IF(COUNT(Эксперт1!E33,Эксперт2!E33,Эксперт3!E33)&lt;3,"",GEOMEAN(Эксперт1!E33,Эксперт2!E33,Эксперт3!E33))</f>
        <v/>
      </c>
      <c r="F33" s="8">
        <f>IF(COUNT(B33:E33)&lt;4,"",GEOMEAN(B33:E33))</f>
        <v/>
      </c>
      <c r="G33" s="9">
        <f>IFERROR(F33/SUM($F$32:$F$35),"")</f>
        <v/>
      </c>
      <c r="H33" s="8">
        <f>IFERROR(B33*$G$32+C33*$G$33+D33*$G$34+E33*$G$35,"")</f>
        <v/>
      </c>
      <c r="I33" s="8">
        <f>IFERROR(H33/G33,"")</f>
        <v/>
      </c>
    </row>
    <row r="34">
      <c r="A34" s="3">
        <f>Справочник!$B$12</f>
        <v/>
      </c>
      <c r="B34" s="8">
        <f>IF(COUNT(Эксперт1!B34,Эксперт2!B34,Эксперт3!B34)&lt;3,"",GEOMEAN(Эксперт1!B34,Эксперт2!B34,Эксперт3!B34))</f>
        <v/>
      </c>
      <c r="C34" s="8">
        <f>IF(COUNT(Эксперт1!C34,Эксперт2!C34,Эксперт3!C34)&lt;3,"",GEOMEAN(Эксперт1!C34,Эксперт2!C34,Эксперт3!C34))</f>
        <v/>
      </c>
      <c r="D34" s="6">
        <f>IF(COUNT(Эксперт1!D34,Эксперт2!D34,Эксперт3!D34)&lt;3,"",GEOMEAN(Эксперт1!D34,Эксперт2!D34,Эксперт3!D34))</f>
        <v/>
      </c>
      <c r="E34" s="8">
        <f>IF(COUNT(Эксперт1!E34,Эксперт2!E34,Эксперт3!E34)&lt;3,"",GEOMEAN(Эксперт1!E34,Эксперт2!E34,Эксперт3!E34))</f>
        <v/>
      </c>
      <c r="F34" s="8">
        <f>IF(COUNT(B34:E34)&lt;4,"",GEOMEAN(B34:E34))</f>
        <v/>
      </c>
      <c r="G34" s="9">
        <f>IFERROR(F34/SUM($F$32:$F$35),"")</f>
        <v/>
      </c>
      <c r="H34" s="8">
        <f>IFERROR(B34*$G$32+C34*$G$33+D34*$G$34+E34*$G$35,"")</f>
        <v/>
      </c>
      <c r="I34" s="8">
        <f>IFERROR(H34/G34,"")</f>
        <v/>
      </c>
    </row>
    <row r="35">
      <c r="A35" s="3">
        <f>Справочник!$B$13</f>
        <v/>
      </c>
      <c r="B35" s="8">
        <f>IF(COUNT(Эксперт1!B35,Эксперт2!B35,Эксперт3!B35)&lt;3,"",GEOMEAN(Эксперт1!B35,Эксперт2!B35,Эксперт3!B35))</f>
        <v/>
      </c>
      <c r="C35" s="8">
        <f>IF(COUNT(Эксперт1!C35,Эксперт2!C35,Эксперт3!C35)&lt;3,"",GEOMEAN(Эксперт1!C35,Эксперт2!C35,Эксперт3!C35))</f>
        <v/>
      </c>
      <c r="D35" s="8">
        <f>IF(COUNT(Эксперт1!D35,Эксперт2!D35,Эксперт3!D35)&lt;3,"",GEOMEAN(Эксперт1!D35,Эксперт2!D35,Эксперт3!D35))</f>
        <v/>
      </c>
      <c r="E35" s="6">
        <f>IF(COUNT(Эксперт1!E35,Эксперт2!E35,Эксперт3!E35)&lt;3,"",GEOMEAN(Эксперт1!E35,Эксперт2!E35,Эксперт3!E35))</f>
        <v/>
      </c>
      <c r="F35" s="8">
        <f>IF(COUNT(B35:E35)&lt;4,"",GEOMEAN(B35:E35))</f>
        <v/>
      </c>
      <c r="G35" s="9">
        <f>IFERROR(F35/SUM($F$32:$F$35),"")</f>
        <v/>
      </c>
      <c r="H35" s="8">
        <f>IFERROR(B35*$G$32+C35*$G$33+D35*$G$34+E35*$G$35,"")</f>
        <v/>
      </c>
      <c r="I35" s="8">
        <f>IFERROR(H35/G35,"")</f>
        <v/>
      </c>
    </row>
    <row r="36">
      <c r="A36" s="3" t="inlineStr">
        <is>
          <t>lambda max</t>
        </is>
      </c>
      <c r="B36" s="8">
        <f>IF(COUNT(I32:I35)&lt;4,"",AVERAGE(I32:I35))</f>
        <v/>
      </c>
      <c r="C36" s="3" t="inlineStr">
        <is>
          <t>CI</t>
        </is>
      </c>
      <c r="D36" s="8">
        <f>IFERROR((B36-4)/(4-1),"")</f>
        <v/>
      </c>
      <c r="E36" s="3" t="inlineStr">
        <is>
          <t>CR (RI=0.9)</t>
        </is>
      </c>
      <c r="F36" s="10">
        <f>IFERROR(D36/0.9,"")</f>
        <v/>
      </c>
      <c r="G36">
        <f>IF(F36="","заполните матрицу",IF(F36&lt;=0.1,"согласовано","CR &gt; 0,1: пересмотреть"))</f>
        <v/>
      </c>
    </row>
    <row r="43">
      <c r="A43" s="2">
        <f>"Альтернативы по критерию: "&amp;Справочник!$B$19</f>
        <v/>
      </c>
    </row>
    <row r="44" ht="45" customHeight="1">
      <c r="A44" s="4" t="inlineStr"/>
      <c r="B44" s="5">
        <f>Справочник!$B$10</f>
        <v/>
      </c>
      <c r="C44" s="5">
        <f>Справочник!$B$11</f>
        <v/>
      </c>
      <c r="D44" s="5">
        <f>Справочник!$B$12</f>
        <v/>
      </c>
      <c r="E44" s="5">
        <f>Справочник!$B$13</f>
        <v/>
      </c>
      <c r="F44" s="5" t="inlineStr">
        <is>
          <t>Среднее геом. строки</t>
        </is>
      </c>
      <c r="G44" s="5" t="inlineStr">
        <is>
          <t>Вес w</t>
        </is>
      </c>
      <c r="H44" s="5" t="inlineStr">
        <is>
          <t>(A*w)i</t>
        </is>
      </c>
      <c r="I44" s="5" t="inlineStr">
        <is>
          <t>(A*w)i / wi</t>
        </is>
      </c>
    </row>
    <row r="45">
      <c r="A45" s="3">
        <f>Справочник!$B$10</f>
        <v/>
      </c>
      <c r="B45" s="6">
        <f>IF(COUNT(Эксперт1!B45,Эксперт2!B45,Эксперт3!B45)&lt;3,"",GEOMEAN(Эксперт1!B45,Эксперт2!B45,Эксперт3!B45))</f>
        <v/>
      </c>
      <c r="C45" s="8">
        <f>IF(COUNT(Эксперт1!C45,Эксперт2!C45,Эксперт3!C45)&lt;3,"",GEOMEAN(Эксперт1!C45,Эксперт2!C45,Эксперт3!C45))</f>
        <v/>
      </c>
      <c r="D45" s="8">
        <f>IF(COUNT(Эксперт1!D45,Эксперт2!D45,Эксперт3!D45)&lt;3,"",GEOMEAN(Эксперт1!D45,Эксперт2!D45,Эксперт3!D45))</f>
        <v/>
      </c>
      <c r="E45" s="8">
        <f>IF(COUNT(Эксперт1!E45,Эксперт2!E45,Эксперт3!E45)&lt;3,"",GEOMEAN(Эксперт1!E45,Эксперт2!E45,Эксперт3!E45))</f>
        <v/>
      </c>
      <c r="F45" s="8">
        <f>IF(COUNT(B45:E45)&lt;4,"",GEOMEAN(B45:E45))</f>
        <v/>
      </c>
      <c r="G45" s="9">
        <f>IFERROR(F45/SUM($F$45:$F$48),"")</f>
        <v/>
      </c>
      <c r="H45" s="8">
        <f>IFERROR(B45*$G$45+C45*$G$46+D45*$G$47+E45*$G$48,"")</f>
        <v/>
      </c>
      <c r="I45" s="8">
        <f>IFERROR(H45/G45,"")</f>
        <v/>
      </c>
    </row>
    <row r="46">
      <c r="A46" s="3">
        <f>Справочник!$B$11</f>
        <v/>
      </c>
      <c r="B46" s="8">
        <f>IF(COUNT(Эксперт1!B46,Эксперт2!B46,Эксперт3!B46)&lt;3,"",GEOMEAN(Эксперт1!B46,Эксперт2!B46,Эксперт3!B46))</f>
        <v/>
      </c>
      <c r="C46" s="6">
        <f>IF(COUNT(Эксперт1!C46,Эксперт2!C46,Эксперт3!C46)&lt;3,"",GEOMEAN(Эксперт1!C46,Эксперт2!C46,Эксперт3!C46))</f>
        <v/>
      </c>
      <c r="D46" s="8">
        <f>IF(COUNT(Эксперт1!D46,Эксперт2!D46,Эксперт3!D46)&lt;3,"",GEOMEAN(Эксперт1!D46,Эксперт2!D46,Эксперт3!D46))</f>
        <v/>
      </c>
      <c r="E46" s="8">
        <f>IF(COUNT(Эксперт1!E46,Эксперт2!E46,Эксперт3!E46)&lt;3,"",GEOMEAN(Эксперт1!E46,Эксперт2!E46,Эксперт3!E46))</f>
        <v/>
      </c>
      <c r="F46" s="8">
        <f>IF(COUNT(B46:E46)&lt;4,"",GEOMEAN(B46:E46))</f>
        <v/>
      </c>
      <c r="G46" s="9">
        <f>IFERROR(F46/SUM($F$45:$F$48),"")</f>
        <v/>
      </c>
      <c r="H46" s="8">
        <f>IFERROR(B46*$G$45+C46*$G$46+D46*$G$47+E46*$G$48,"")</f>
        <v/>
      </c>
      <c r="I46" s="8">
        <f>IFERROR(H46/G46,"")</f>
        <v/>
      </c>
    </row>
    <row r="47">
      <c r="A47" s="3">
        <f>Справочник!$B$12</f>
        <v/>
      </c>
      <c r="B47" s="8">
        <f>IF(COUNT(Эксперт1!B47,Эксперт2!B47,Эксперт3!B47)&lt;3,"",GEOMEAN(Эксперт1!B47,Эксперт2!B47,Эксперт3!B47))</f>
        <v/>
      </c>
      <c r="C47" s="8">
        <f>IF(COUNT(Эксперт1!C47,Эксперт2!C47,Эксперт3!C47)&lt;3,"",GEOMEAN(Эксперт1!C47,Эксперт2!C47,Эксперт3!C47))</f>
        <v/>
      </c>
      <c r="D47" s="6">
        <f>IF(COUNT(Эксперт1!D47,Эксперт2!D47,Эксперт3!D47)&lt;3,"",GEOMEAN(Эксперт1!D47,Эксперт2!D47,Эксперт3!D47))</f>
        <v/>
      </c>
      <c r="E47" s="8">
        <f>IF(COUNT(Эксперт1!E47,Эксперт2!E47,Эксперт3!E47)&lt;3,"",GEOMEAN(Эксперт1!E47,Эксперт2!E47,Эксперт3!E47))</f>
        <v/>
      </c>
      <c r="F47" s="8">
        <f>IF(COUNT(B47:E47)&lt;4,"",GEOMEAN(B47:E47))</f>
        <v/>
      </c>
      <c r="G47" s="9">
        <f>IFERROR(F47/SUM($F$45:$F$48),"")</f>
        <v/>
      </c>
      <c r="H47" s="8">
        <f>IFERROR(B47*$G$45+C47*$G$46+D47*$G$47+E47*$G$48,"")</f>
        <v/>
      </c>
      <c r="I47" s="8">
        <f>IFERROR(H47/G47,"")</f>
        <v/>
      </c>
    </row>
    <row r="48">
      <c r="A48" s="3">
        <f>Справочник!$B$13</f>
        <v/>
      </c>
      <c r="B48" s="8">
        <f>IF(COUNT(Эксперт1!B48,Эксперт2!B48,Эксперт3!B48)&lt;3,"",GEOMEAN(Эксперт1!B48,Эксперт2!B48,Эксперт3!B48))</f>
        <v/>
      </c>
      <c r="C48" s="8">
        <f>IF(COUNT(Эксперт1!C48,Эксперт2!C48,Эксперт3!C48)&lt;3,"",GEOMEAN(Эксперт1!C48,Эксперт2!C48,Эксперт3!C48))</f>
        <v/>
      </c>
      <c r="D48" s="8">
        <f>IF(COUNT(Эксперт1!D48,Эксперт2!D48,Эксперт3!D48)&lt;3,"",GEOMEAN(Эксперт1!D48,Эксперт2!D48,Эксперт3!D48))</f>
        <v/>
      </c>
      <c r="E48" s="6">
        <f>IF(COUNT(Эксперт1!E48,Эксперт2!E48,Эксперт3!E48)&lt;3,"",GEOMEAN(Эксперт1!E48,Эксперт2!E48,Эксперт3!E48))</f>
        <v/>
      </c>
      <c r="F48" s="8">
        <f>IF(COUNT(B48:E48)&lt;4,"",GEOMEAN(B48:E48))</f>
        <v/>
      </c>
      <c r="G48" s="9">
        <f>IFERROR(F48/SUM($F$45:$F$48),"")</f>
        <v/>
      </c>
      <c r="H48" s="8">
        <f>IFERROR(B48*$G$45+C48*$G$46+D48*$G$47+E48*$G$48,"")</f>
        <v/>
      </c>
      <c r="I48" s="8">
        <f>IFERROR(H48/G48,"")</f>
        <v/>
      </c>
    </row>
    <row r="49">
      <c r="A49" s="3" t="inlineStr">
        <is>
          <t>lambda max</t>
        </is>
      </c>
      <c r="B49" s="8">
        <f>IF(COUNT(I45:I48)&lt;4,"",AVERAGE(I45:I48))</f>
        <v/>
      </c>
      <c r="C49" s="3" t="inlineStr">
        <is>
          <t>CI</t>
        </is>
      </c>
      <c r="D49" s="8">
        <f>IFERROR((B49-4)/(4-1),"")</f>
        <v/>
      </c>
      <c r="E49" s="3" t="inlineStr">
        <is>
          <t>CR (RI=0.9)</t>
        </is>
      </c>
      <c r="F49" s="10">
        <f>IFERROR(D49/0.9,"")</f>
        <v/>
      </c>
      <c r="G49">
        <f>IF(F49="","заполните матрицу",IF(F49&lt;=0.1,"согласовано","CR &gt; 0,1: пересмотреть"))</f>
        <v/>
      </c>
    </row>
    <row r="56">
      <c r="A56" s="2">
        <f>"Альтернативы по критерию: "&amp;Справочник!$B$20</f>
        <v/>
      </c>
    </row>
    <row r="57" ht="45" customHeight="1">
      <c r="A57" s="4" t="inlineStr"/>
      <c r="B57" s="5">
        <f>Справочник!$B$10</f>
        <v/>
      </c>
      <c r="C57" s="5">
        <f>Справочник!$B$11</f>
        <v/>
      </c>
      <c r="D57" s="5">
        <f>Справочник!$B$12</f>
        <v/>
      </c>
      <c r="E57" s="5">
        <f>Справочник!$B$13</f>
        <v/>
      </c>
      <c r="F57" s="5" t="inlineStr">
        <is>
          <t>Среднее геом. строки</t>
        </is>
      </c>
      <c r="G57" s="5" t="inlineStr">
        <is>
          <t>Вес w</t>
        </is>
      </c>
      <c r="H57" s="5" t="inlineStr">
        <is>
          <t>(A*w)i</t>
        </is>
      </c>
      <c r="I57" s="5" t="inlineStr">
        <is>
          <t>(A*w)i / wi</t>
        </is>
      </c>
    </row>
    <row r="58">
      <c r="A58" s="3">
        <f>Справочник!$B$10</f>
        <v/>
      </c>
      <c r="B58" s="6">
        <f>IF(COUNT(Эксперт1!B58,Эксперт2!B58,Эксперт3!B58)&lt;3,"",GEOMEAN(Эксперт1!B58,Эксперт2!B58,Эксперт3!B58))</f>
        <v/>
      </c>
      <c r="C58" s="8">
        <f>IF(COUNT(Эксперт1!C58,Эксперт2!C58,Эксперт3!C58)&lt;3,"",GEOMEAN(Эксперт1!C58,Эксперт2!C58,Эксперт3!C58))</f>
        <v/>
      </c>
      <c r="D58" s="8">
        <f>IF(COUNT(Эксперт1!D58,Эксперт2!D58,Эксперт3!D58)&lt;3,"",GEOMEAN(Эксперт1!D58,Эксперт2!D58,Эксперт3!D58))</f>
        <v/>
      </c>
      <c r="E58" s="8">
        <f>IF(COUNT(Эксперт1!E58,Эксперт2!E58,Эксперт3!E58)&lt;3,"",GEOMEAN(Эксперт1!E58,Эксперт2!E58,Эксперт3!E58))</f>
        <v/>
      </c>
      <c r="F58" s="8">
        <f>IF(COUNT(B58:E58)&lt;4,"",GEOMEAN(B58:E58))</f>
        <v/>
      </c>
      <c r="G58" s="9">
        <f>IFERROR(F58/SUM($F$58:$F$61),"")</f>
        <v/>
      </c>
      <c r="H58" s="8">
        <f>IFERROR(B58*$G$58+C58*$G$59+D58*$G$60+E58*$G$61,"")</f>
        <v/>
      </c>
      <c r="I58" s="8">
        <f>IFERROR(H58/G58,"")</f>
        <v/>
      </c>
    </row>
    <row r="59">
      <c r="A59" s="3">
        <f>Справочник!$B$11</f>
        <v/>
      </c>
      <c r="B59" s="8">
        <f>IF(COUNT(Эксперт1!B59,Эксперт2!B59,Эксперт3!B59)&lt;3,"",GEOMEAN(Эксперт1!B59,Эксперт2!B59,Эксперт3!B59))</f>
        <v/>
      </c>
      <c r="C59" s="6">
        <f>IF(COUNT(Эксперт1!C59,Эксперт2!C59,Эксперт3!C59)&lt;3,"",GEOMEAN(Эксперт1!C59,Эксперт2!C59,Эксперт3!C59))</f>
        <v/>
      </c>
      <c r="D59" s="8">
        <f>IF(COUNT(Эксперт1!D59,Эксперт2!D59,Эксперт3!D59)&lt;3,"",GEOMEAN(Эксперт1!D59,Эксперт2!D59,Эксперт3!D59))</f>
        <v/>
      </c>
      <c r="E59" s="8">
        <f>IF(COUNT(Эксперт1!E59,Эксперт2!E59,Эксперт3!E59)&lt;3,"",GEOMEAN(Эксперт1!E59,Эксперт2!E59,Эксперт3!E59))</f>
        <v/>
      </c>
      <c r="F59" s="8">
        <f>IF(COUNT(B59:E59)&lt;4,"",GEOMEAN(B59:E59))</f>
        <v/>
      </c>
      <c r="G59" s="9">
        <f>IFERROR(F59/SUM($F$58:$F$61),"")</f>
        <v/>
      </c>
      <c r="H59" s="8">
        <f>IFERROR(B59*$G$58+C59*$G$59+D59*$G$60+E59*$G$61,"")</f>
        <v/>
      </c>
      <c r="I59" s="8">
        <f>IFERROR(H59/G59,"")</f>
        <v/>
      </c>
    </row>
    <row r="60">
      <c r="A60" s="3">
        <f>Справочник!$B$12</f>
        <v/>
      </c>
      <c r="B60" s="8">
        <f>IF(COUNT(Эксперт1!B60,Эксперт2!B60,Эксперт3!B60)&lt;3,"",GEOMEAN(Эксперт1!B60,Эксперт2!B60,Эксперт3!B60))</f>
        <v/>
      </c>
      <c r="C60" s="8">
        <f>IF(COUNT(Эксперт1!C60,Эксперт2!C60,Эксперт3!C60)&lt;3,"",GEOMEAN(Эксперт1!C60,Эксперт2!C60,Эксперт3!C60))</f>
        <v/>
      </c>
      <c r="D60" s="6">
        <f>IF(COUNT(Эксперт1!D60,Эксперт2!D60,Эксперт3!D60)&lt;3,"",GEOMEAN(Эксперт1!D60,Эксперт2!D60,Эксперт3!D60))</f>
        <v/>
      </c>
      <c r="E60" s="8">
        <f>IF(COUNT(Эксперт1!E60,Эксперт2!E60,Эксперт3!E60)&lt;3,"",GEOMEAN(Эксперт1!E60,Эксперт2!E60,Эксперт3!E60))</f>
        <v/>
      </c>
      <c r="F60" s="8">
        <f>IF(COUNT(B60:E60)&lt;4,"",GEOMEAN(B60:E60))</f>
        <v/>
      </c>
      <c r="G60" s="9">
        <f>IFERROR(F60/SUM($F$58:$F$61),"")</f>
        <v/>
      </c>
      <c r="H60" s="8">
        <f>IFERROR(B60*$G$58+C60*$G$59+D60*$G$60+E60*$G$61,"")</f>
        <v/>
      </c>
      <c r="I60" s="8">
        <f>IFERROR(H60/G60,"")</f>
        <v/>
      </c>
    </row>
    <row r="61">
      <c r="A61" s="3">
        <f>Справочник!$B$13</f>
        <v/>
      </c>
      <c r="B61" s="8">
        <f>IF(COUNT(Эксперт1!B61,Эксперт2!B61,Эксперт3!B61)&lt;3,"",GEOMEAN(Эксперт1!B61,Эксперт2!B61,Эксперт3!B61))</f>
        <v/>
      </c>
      <c r="C61" s="8">
        <f>IF(COUNT(Эксперт1!C61,Эксперт2!C61,Эксперт3!C61)&lt;3,"",GEOMEAN(Эксперт1!C61,Эксперт2!C61,Эксперт3!C61))</f>
        <v/>
      </c>
      <c r="D61" s="8">
        <f>IF(COUNT(Эксперт1!D61,Эксперт2!D61,Эксперт3!D61)&lt;3,"",GEOMEAN(Эксперт1!D61,Эксперт2!D61,Эксперт3!D61))</f>
        <v/>
      </c>
      <c r="E61" s="6">
        <f>IF(COUNT(Эксперт1!E61,Эксперт2!E61,Эксперт3!E61)&lt;3,"",GEOMEAN(Эксперт1!E61,Эксперт2!E61,Эксперт3!E61))</f>
        <v/>
      </c>
      <c r="F61" s="8">
        <f>IF(COUNT(B61:E61)&lt;4,"",GEOMEAN(B61:E61))</f>
        <v/>
      </c>
      <c r="G61" s="9">
        <f>IFERROR(F61/SUM($F$58:$F$61),"")</f>
        <v/>
      </c>
      <c r="H61" s="8">
        <f>IFERROR(B61*$G$58+C61*$G$59+D61*$G$60+E61*$G$61,"")</f>
        <v/>
      </c>
      <c r="I61" s="8">
        <f>IFERROR(H61/G61,"")</f>
        <v/>
      </c>
    </row>
    <row r="62">
      <c r="A62" s="3" t="inlineStr">
        <is>
          <t>lambda max</t>
        </is>
      </c>
      <c r="B62" s="8">
        <f>IF(COUNT(I58:I61)&lt;4,"",AVERAGE(I58:I61))</f>
        <v/>
      </c>
      <c r="C62" s="3" t="inlineStr">
        <is>
          <t>CI</t>
        </is>
      </c>
      <c r="D62" s="8">
        <f>IFERROR((B62-4)/(4-1),"")</f>
        <v/>
      </c>
      <c r="E62" s="3" t="inlineStr">
        <is>
          <t>CR (RI=0.9)</t>
        </is>
      </c>
      <c r="F62" s="10">
        <f>IFERROR(D62/0.9,"")</f>
        <v/>
      </c>
      <c r="G62">
        <f>IF(F62="","заполните матрицу",IF(F62&lt;=0.1,"согласовано","CR &gt; 0,1: пересмотреть"))</f>
        <v/>
      </c>
    </row>
    <row r="69">
      <c r="A69" s="2">
        <f>"Альтернативы по критерию: "&amp;Справочник!$B$21</f>
        <v/>
      </c>
    </row>
    <row r="70" ht="45" customHeight="1">
      <c r="A70" s="4" t="inlineStr"/>
      <c r="B70" s="5">
        <f>Справочник!$B$10</f>
        <v/>
      </c>
      <c r="C70" s="5">
        <f>Справочник!$B$11</f>
        <v/>
      </c>
      <c r="D70" s="5">
        <f>Справочник!$B$12</f>
        <v/>
      </c>
      <c r="E70" s="5">
        <f>Справочник!$B$13</f>
        <v/>
      </c>
      <c r="F70" s="5" t="inlineStr">
        <is>
          <t>Среднее геом. строки</t>
        </is>
      </c>
      <c r="G70" s="5" t="inlineStr">
        <is>
          <t>Вес w</t>
        </is>
      </c>
      <c r="H70" s="5" t="inlineStr">
        <is>
          <t>(A*w)i</t>
        </is>
      </c>
      <c r="I70" s="5" t="inlineStr">
        <is>
          <t>(A*w)i / wi</t>
        </is>
      </c>
    </row>
    <row r="71">
      <c r="A71" s="3">
        <f>Справочник!$B$10</f>
        <v/>
      </c>
      <c r="B71" s="6">
        <f>IF(COUNT(Эксперт1!B71,Эксперт2!B71,Эксперт3!B71)&lt;3,"",GEOMEAN(Эксперт1!B71,Эксперт2!B71,Эксперт3!B71))</f>
        <v/>
      </c>
      <c r="C71" s="8">
        <f>IF(COUNT(Эксперт1!C71,Эксперт2!C71,Эксперт3!C71)&lt;3,"",GEOMEAN(Эксперт1!C71,Эксперт2!C71,Эксперт3!C71))</f>
        <v/>
      </c>
      <c r="D71" s="8">
        <f>IF(COUNT(Эксперт1!D71,Эксперт2!D71,Эксперт3!D71)&lt;3,"",GEOMEAN(Эксперт1!D71,Эксперт2!D71,Эксперт3!D71))</f>
        <v/>
      </c>
      <c r="E71" s="8">
        <f>IF(COUNT(Эксперт1!E71,Эксперт2!E71,Эксперт3!E71)&lt;3,"",GEOMEAN(Эксперт1!E71,Эксперт2!E71,Эксперт3!E71))</f>
        <v/>
      </c>
      <c r="F71" s="8">
        <f>IF(COUNT(B71:E71)&lt;4,"",GEOMEAN(B71:E71))</f>
        <v/>
      </c>
      <c r="G71" s="9">
        <f>IFERROR(F71/SUM($F$71:$F$74),"")</f>
        <v/>
      </c>
      <c r="H71" s="8">
        <f>IFERROR(B71*$G$71+C71*$G$72+D71*$G$73+E71*$G$74,"")</f>
        <v/>
      </c>
      <c r="I71" s="8">
        <f>IFERROR(H71/G71,"")</f>
        <v/>
      </c>
    </row>
    <row r="72">
      <c r="A72" s="3">
        <f>Справочник!$B$11</f>
        <v/>
      </c>
      <c r="B72" s="8">
        <f>IF(COUNT(Эксперт1!B72,Эксперт2!B72,Эксперт3!B72)&lt;3,"",GEOMEAN(Эксперт1!B72,Эксперт2!B72,Эксперт3!B72))</f>
        <v/>
      </c>
      <c r="C72" s="6">
        <f>IF(COUNT(Эксперт1!C72,Эксперт2!C72,Эксперт3!C72)&lt;3,"",GEOMEAN(Эксперт1!C72,Эксперт2!C72,Эксперт3!C72))</f>
        <v/>
      </c>
      <c r="D72" s="8">
        <f>IF(COUNT(Эксперт1!D72,Эксперт2!D72,Эксперт3!D72)&lt;3,"",GEOMEAN(Эксперт1!D72,Эксперт2!D72,Эксперт3!D72))</f>
        <v/>
      </c>
      <c r="E72" s="8">
        <f>IF(COUNT(Эксперт1!E72,Эксперт2!E72,Эксперт3!E72)&lt;3,"",GEOMEAN(Эксперт1!E72,Эксперт2!E72,Эксперт3!E72))</f>
        <v/>
      </c>
      <c r="F72" s="8">
        <f>IF(COUNT(B72:E72)&lt;4,"",GEOMEAN(B72:E72))</f>
        <v/>
      </c>
      <c r="G72" s="9">
        <f>IFERROR(F72/SUM($F$71:$F$74),"")</f>
        <v/>
      </c>
      <c r="H72" s="8">
        <f>IFERROR(B72*$G$71+C72*$G$72+D72*$G$73+E72*$G$74,"")</f>
        <v/>
      </c>
      <c r="I72" s="8">
        <f>IFERROR(H72/G72,"")</f>
        <v/>
      </c>
    </row>
    <row r="73">
      <c r="A73" s="3">
        <f>Справочник!$B$12</f>
        <v/>
      </c>
      <c r="B73" s="8">
        <f>IF(COUNT(Эксперт1!B73,Эксперт2!B73,Эксперт3!B73)&lt;3,"",GEOMEAN(Эксперт1!B73,Эксперт2!B73,Эксперт3!B73))</f>
        <v/>
      </c>
      <c r="C73" s="8">
        <f>IF(COUNT(Эксперт1!C73,Эксперт2!C73,Эксперт3!C73)&lt;3,"",GEOMEAN(Эксперт1!C73,Эксперт2!C73,Эксперт3!C73))</f>
        <v/>
      </c>
      <c r="D73" s="6">
        <f>IF(COUNT(Эксперт1!D73,Эксперт2!D73,Эксперт3!D73)&lt;3,"",GEOMEAN(Эксперт1!D73,Эксперт2!D73,Эксперт3!D73))</f>
        <v/>
      </c>
      <c r="E73" s="8">
        <f>IF(COUNT(Эксперт1!E73,Эксперт2!E73,Эксперт3!E73)&lt;3,"",GEOMEAN(Эксперт1!E73,Эксперт2!E73,Эксперт3!E73))</f>
        <v/>
      </c>
      <c r="F73" s="8">
        <f>IF(COUNT(B73:E73)&lt;4,"",GEOMEAN(B73:E73))</f>
        <v/>
      </c>
      <c r="G73" s="9">
        <f>IFERROR(F73/SUM($F$71:$F$74),"")</f>
        <v/>
      </c>
      <c r="H73" s="8">
        <f>IFERROR(B73*$G$71+C73*$G$72+D73*$G$73+E73*$G$74,"")</f>
        <v/>
      </c>
      <c r="I73" s="8">
        <f>IFERROR(H73/G73,"")</f>
        <v/>
      </c>
    </row>
    <row r="74">
      <c r="A74" s="3">
        <f>Справочник!$B$13</f>
        <v/>
      </c>
      <c r="B74" s="8">
        <f>IF(COUNT(Эксперт1!B74,Эксперт2!B74,Эксперт3!B74)&lt;3,"",GEOMEAN(Эксперт1!B74,Эксперт2!B74,Эксперт3!B74))</f>
        <v/>
      </c>
      <c r="C74" s="8">
        <f>IF(COUNT(Эксперт1!C74,Эксперт2!C74,Эксперт3!C74)&lt;3,"",GEOMEAN(Эксперт1!C74,Эксперт2!C74,Эксперт3!C74))</f>
        <v/>
      </c>
      <c r="D74" s="8">
        <f>IF(COUNT(Эксперт1!D74,Эксперт2!D74,Эксперт3!D74)&lt;3,"",GEOMEAN(Эксперт1!D74,Эксперт2!D74,Эксперт3!D74))</f>
        <v/>
      </c>
      <c r="E74" s="6">
        <f>IF(COUNT(Эксперт1!E74,Эксперт2!E74,Эксперт3!E74)&lt;3,"",GEOMEAN(Эксперт1!E74,Эксперт2!E74,Эксперт3!E74))</f>
        <v/>
      </c>
      <c r="F74" s="8">
        <f>IF(COUNT(B74:E74)&lt;4,"",GEOMEAN(B74:E74))</f>
        <v/>
      </c>
      <c r="G74" s="9">
        <f>IFERROR(F74/SUM($F$71:$F$74),"")</f>
        <v/>
      </c>
      <c r="H74" s="8">
        <f>IFERROR(B74*$G$71+C74*$G$72+D74*$G$73+E74*$G$74,"")</f>
        <v/>
      </c>
      <c r="I74" s="8">
        <f>IFERROR(H74/G74,"")</f>
        <v/>
      </c>
    </row>
    <row r="75">
      <c r="A75" s="3" t="inlineStr">
        <is>
          <t>lambda max</t>
        </is>
      </c>
      <c r="B75" s="8">
        <f>IF(COUNT(I71:I74)&lt;4,"",AVERAGE(I71:I74))</f>
        <v/>
      </c>
      <c r="C75" s="3" t="inlineStr">
        <is>
          <t>CI</t>
        </is>
      </c>
      <c r="D75" s="8">
        <f>IFERROR((B75-4)/(4-1),"")</f>
        <v/>
      </c>
      <c r="E75" s="3" t="inlineStr">
        <is>
          <t>CR (RI=0.9)</t>
        </is>
      </c>
      <c r="F75" s="10">
        <f>IFERROR(D75/0.9,"")</f>
        <v/>
      </c>
      <c r="G75">
        <f>IF(F75="","заполните матрицу",IF(F75&lt;=0.1,"согласовано","CR &gt; 0,1: пересмотреть"))</f>
        <v/>
      </c>
    </row>
    <row r="82">
      <c r="A82" s="1" t="inlineStr">
        <is>
          <t>Синтез: глобальные приоритеты альтернатив</t>
        </is>
      </c>
    </row>
    <row r="83" ht="45" customHeight="1">
      <c r="A83" s="4" t="inlineStr">
        <is>
          <t>Альтернатива \ критерий</t>
        </is>
      </c>
      <c r="B83" s="5">
        <f>Справочник!$B$17</f>
        <v/>
      </c>
      <c r="C83" s="5">
        <f>Справочник!$B$18</f>
        <v/>
      </c>
      <c r="D83" s="5">
        <f>Справочник!$B$19</f>
        <v/>
      </c>
      <c r="E83" s="5">
        <f>Справочник!$B$20</f>
        <v/>
      </c>
      <c r="F83" s="5">
        <f>Справочник!$B$21</f>
        <v/>
      </c>
      <c r="G83" s="5" t="inlineStr">
        <is>
          <t>Глобальный приоритет</t>
        </is>
      </c>
      <c r="H83" s="4" t="inlineStr">
        <is>
          <t>Ранг</t>
        </is>
      </c>
    </row>
    <row r="84">
      <c r="A84" s="11" t="inlineStr">
        <is>
          <t>Вес критерия</t>
        </is>
      </c>
      <c r="B84" s="12">
        <f>IFERROR($H$6,"")</f>
        <v/>
      </c>
      <c r="C84" s="12">
        <f>IFERROR($H$7,"")</f>
        <v/>
      </c>
      <c r="D84" s="12">
        <f>IFERROR($H$8,"")</f>
        <v/>
      </c>
      <c r="E84" s="12">
        <f>IFERROR($H$9,"")</f>
        <v/>
      </c>
      <c r="F84" s="12">
        <f>IFERROR($H$10,"")</f>
        <v/>
      </c>
    </row>
    <row r="85">
      <c r="A85" s="3">
        <f>Справочник!$B$10</f>
        <v/>
      </c>
      <c r="B85" s="13">
        <f>IFERROR($G$19,"")</f>
        <v/>
      </c>
      <c r="C85" s="13">
        <f>IFERROR($G$32,"")</f>
        <v/>
      </c>
      <c r="D85" s="13">
        <f>IFERROR($G$45,"")</f>
        <v/>
      </c>
      <c r="E85" s="13">
        <f>IFERROR($G$58,"")</f>
        <v/>
      </c>
      <c r="F85" s="13">
        <f>IFERROR($G$71,"")</f>
        <v/>
      </c>
      <c r="G85" s="9">
        <f>IF(COUNT(B85:F85,$B$84:$F$84)&lt;10,"",SUMPRODUCT(B85:F85,$B$84:$F$84))</f>
        <v/>
      </c>
      <c r="H85" s="14">
        <f>IFERROR(RANK(G85,$G$85:$G$88,0),"")</f>
        <v/>
      </c>
    </row>
    <row r="86">
      <c r="A86" s="3">
        <f>Справочник!$B$11</f>
        <v/>
      </c>
      <c r="B86" s="13">
        <f>IFERROR($G$20,"")</f>
        <v/>
      </c>
      <c r="C86" s="13">
        <f>IFERROR($G$33,"")</f>
        <v/>
      </c>
      <c r="D86" s="13">
        <f>IFERROR($G$46,"")</f>
        <v/>
      </c>
      <c r="E86" s="13">
        <f>IFERROR($G$59,"")</f>
        <v/>
      </c>
      <c r="F86" s="13">
        <f>IFERROR($G$72,"")</f>
        <v/>
      </c>
      <c r="G86" s="9">
        <f>IF(COUNT(B86:F86,$B$84:$F$84)&lt;10,"",SUMPRODUCT(B86:F86,$B$84:$F$84))</f>
        <v/>
      </c>
      <c r="H86" s="14">
        <f>IFERROR(RANK(G86,$G$85:$G$88,0),"")</f>
        <v/>
      </c>
    </row>
    <row r="87">
      <c r="A87" s="3">
        <f>Справочник!$B$12</f>
        <v/>
      </c>
      <c r="B87" s="13">
        <f>IFERROR($G$21,"")</f>
        <v/>
      </c>
      <c r="C87" s="13">
        <f>IFERROR($G$34,"")</f>
        <v/>
      </c>
      <c r="D87" s="13">
        <f>IFERROR($G$47,"")</f>
        <v/>
      </c>
      <c r="E87" s="13">
        <f>IFERROR($G$60,"")</f>
        <v/>
      </c>
      <c r="F87" s="13">
        <f>IFERROR($G$73,"")</f>
        <v/>
      </c>
      <c r="G87" s="9">
        <f>IF(COUNT(B87:F87,$B$84:$F$84)&lt;10,"",SUMPRODUCT(B87:F87,$B$84:$F$84))</f>
        <v/>
      </c>
      <c r="H87" s="14">
        <f>IFERROR(RANK(G87,$G$85:$G$88,0),"")</f>
        <v/>
      </c>
    </row>
    <row r="88">
      <c r="A88" s="3">
        <f>Справочник!$B$13</f>
        <v/>
      </c>
      <c r="B88" s="13">
        <f>IFERROR($G$22,"")</f>
        <v/>
      </c>
      <c r="C88" s="13">
        <f>IFERROR($G$35,"")</f>
        <v/>
      </c>
      <c r="D88" s="13">
        <f>IFERROR($G$48,"")</f>
        <v/>
      </c>
      <c r="E88" s="13">
        <f>IFERROR($G$61,"")</f>
        <v/>
      </c>
      <c r="F88" s="13">
        <f>IFERROR($G$74,"")</f>
        <v/>
      </c>
      <c r="G88" s="9">
        <f>IF(COUNT(B88:F88,$B$84:$F$84)&lt;10,"",SUMPRODUCT(B88:F88,$B$84:$F$84))</f>
        <v/>
      </c>
      <c r="H88" s="14">
        <f>IFERROR(RANK(G88,$G$85:$G$88,0),"")</f>
        <v/>
      </c>
    </row>
    <row r="89">
      <c r="A89" s="3" t="inlineStr">
        <is>
          <t>Сумма (контроль = 1)</t>
        </is>
      </c>
      <c r="G89" s="13">
        <f>SUM(G85:G88)</f>
        <v/>
      </c>
    </row>
    <row r="91">
      <c r="A91" s="3" t="inlineStr">
        <is>
          <t>Максимальный CR коллективных матриц</t>
        </is>
      </c>
      <c r="B91" s="10">
        <f>IFERROR(MAX($F$11,$F$23,$F$36,$F$49,$F$62,$F$75),"")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2026-10-13T09:18:57Z</dcterms:created>
  <dcterms:modified xmlns:dcterms="http://purl.org/dc/terms/" xmlns:xsi="http://www.w3.org/2001/XMLSchema-instance" xsi:type="dcterms:W3CDTF">2026-10-13T09:33:44Z</dcterms:modified>
</cp:coreProperties>
</file>