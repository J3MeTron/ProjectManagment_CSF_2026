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ilona\Desktop\ProjectManagment_CSF_2026\phase-1\"/>
    </mc:Choice>
  </mc:AlternateContent>
  <xr:revisionPtr revIDLastSave="0" documentId="13_ncr:1_{A8F11245-BD75-402E-9BBD-ECBF91642E68}" xr6:coauthVersionLast="47" xr6:coauthVersionMax="47" xr10:uidLastSave="{00000000-0000-0000-0000-000000000000}"/>
  <bookViews>
    <workbookView xWindow="9948" yWindow="0" windowWidth="12372" windowHeight="12360" firstSheet="1" activeTab="3" xr2:uid="{00000000-000D-0000-FFFF-FFFF00000000}"/>
  </bookViews>
  <sheets>
    <sheet name="Справочник" sheetId="1" r:id="rId1"/>
    <sheet name="Эксперт1" sheetId="2" r:id="rId2"/>
    <sheet name="Эксперт2" sheetId="3" r:id="rId3"/>
    <sheet name="Эксперт3" sheetId="4" r:id="rId4"/>
    <sheet name="Коллективный"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5" l="1"/>
  <c r="A87" i="5"/>
  <c r="A86" i="5"/>
  <c r="A85" i="5"/>
  <c r="F83" i="5"/>
  <c r="E83" i="5"/>
  <c r="D83" i="5"/>
  <c r="C83" i="5"/>
  <c r="B83" i="5"/>
  <c r="E74" i="5"/>
  <c r="A74" i="5"/>
  <c r="E73" i="5"/>
  <c r="D73" i="5"/>
  <c r="A73" i="5"/>
  <c r="E72" i="5"/>
  <c r="D72" i="5"/>
  <c r="C72" i="5"/>
  <c r="A72" i="5"/>
  <c r="E71" i="5"/>
  <c r="D71" i="5"/>
  <c r="B71" i="5"/>
  <c r="A71" i="5"/>
  <c r="E70" i="5"/>
  <c r="D70" i="5"/>
  <c r="C70" i="5"/>
  <c r="B70" i="5"/>
  <c r="A69" i="5"/>
  <c r="E61" i="5"/>
  <c r="A61" i="5"/>
  <c r="E60" i="5"/>
  <c r="D60" i="5"/>
  <c r="A60" i="5"/>
  <c r="E59" i="5"/>
  <c r="C59" i="5"/>
  <c r="A59" i="5"/>
  <c r="E58" i="5"/>
  <c r="C58" i="5"/>
  <c r="B58" i="5"/>
  <c r="A58" i="5"/>
  <c r="E57" i="5"/>
  <c r="D57" i="5"/>
  <c r="C57" i="5"/>
  <c r="B57" i="5"/>
  <c r="A56" i="5"/>
  <c r="E48" i="5"/>
  <c r="A48" i="5"/>
  <c r="E47" i="5"/>
  <c r="D47" i="5"/>
  <c r="A47" i="5"/>
  <c r="E46" i="5"/>
  <c r="C46" i="5"/>
  <c r="A46" i="5"/>
  <c r="E45" i="5"/>
  <c r="C45" i="5"/>
  <c r="B45" i="5"/>
  <c r="A45" i="5"/>
  <c r="E44" i="5"/>
  <c r="D44" i="5"/>
  <c r="C44" i="5"/>
  <c r="B44" i="5"/>
  <c r="A43" i="5"/>
  <c r="E35" i="5"/>
  <c r="A35" i="5"/>
  <c r="D34" i="5"/>
  <c r="A34" i="5"/>
  <c r="D33" i="5"/>
  <c r="C33" i="5"/>
  <c r="A33" i="5"/>
  <c r="D32" i="5"/>
  <c r="C32" i="5"/>
  <c r="B32" i="5"/>
  <c r="A32" i="5"/>
  <c r="E31" i="5"/>
  <c r="D31" i="5"/>
  <c r="C31" i="5"/>
  <c r="B31" i="5"/>
  <c r="A30" i="5"/>
  <c r="E22" i="5"/>
  <c r="A22" i="5"/>
  <c r="E21" i="5"/>
  <c r="D21" i="5"/>
  <c r="A21" i="5"/>
  <c r="E20" i="5"/>
  <c r="C20" i="5"/>
  <c r="A20" i="5"/>
  <c r="E19" i="5"/>
  <c r="C19" i="5"/>
  <c r="B19" i="5"/>
  <c r="A19" i="5"/>
  <c r="E18" i="5"/>
  <c r="D18" i="5"/>
  <c r="C18" i="5"/>
  <c r="B18" i="5"/>
  <c r="A17" i="5"/>
  <c r="F10" i="5"/>
  <c r="A10" i="5"/>
  <c r="E9" i="5"/>
  <c r="A9" i="5"/>
  <c r="F8" i="5"/>
  <c r="E8" i="5"/>
  <c r="D8" i="5"/>
  <c r="A8" i="5"/>
  <c r="F7" i="5"/>
  <c r="E7" i="5"/>
  <c r="C7" i="5"/>
  <c r="A7" i="5"/>
  <c r="F6" i="5"/>
  <c r="E6" i="5"/>
  <c r="B6" i="5"/>
  <c r="A6" i="5"/>
  <c r="F5" i="5"/>
  <c r="E5" i="5"/>
  <c r="D5" i="5"/>
  <c r="C5" i="5"/>
  <c r="B5" i="5"/>
  <c r="D74" i="4"/>
  <c r="C74" i="4"/>
  <c r="B74" i="4"/>
  <c r="F74" i="4" s="1"/>
  <c r="A74" i="4"/>
  <c r="C73" i="4"/>
  <c r="B73" i="4"/>
  <c r="A73" i="4"/>
  <c r="B72" i="4"/>
  <c r="A72" i="4"/>
  <c r="F71" i="4"/>
  <c r="A71" i="4"/>
  <c r="E70" i="4"/>
  <c r="D70" i="4"/>
  <c r="C70" i="4"/>
  <c r="B70" i="4"/>
  <c r="A69" i="4"/>
  <c r="D61" i="4"/>
  <c r="C61" i="4"/>
  <c r="B61" i="4"/>
  <c r="A61" i="4"/>
  <c r="C60" i="4"/>
  <c r="B60" i="4"/>
  <c r="F60" i="4" s="1"/>
  <c r="A60" i="4"/>
  <c r="B59" i="4"/>
  <c r="F59" i="4" s="1"/>
  <c r="A59" i="4"/>
  <c r="F58" i="4"/>
  <c r="A58" i="4"/>
  <c r="E57" i="4"/>
  <c r="D57" i="4"/>
  <c r="C57" i="4"/>
  <c r="B57" i="4"/>
  <c r="A56" i="4"/>
  <c r="D48" i="4"/>
  <c r="C48" i="4"/>
  <c r="B48" i="4"/>
  <c r="A48" i="4"/>
  <c r="C47" i="4"/>
  <c r="B47" i="4"/>
  <c r="A47" i="4"/>
  <c r="B46" i="4"/>
  <c r="F46" i="4" s="1"/>
  <c r="A46" i="4"/>
  <c r="F45" i="4"/>
  <c r="A45" i="4"/>
  <c r="E44" i="4"/>
  <c r="D44" i="4"/>
  <c r="C44" i="4"/>
  <c r="B44" i="4"/>
  <c r="A43" i="4"/>
  <c r="D35" i="4"/>
  <c r="C35" i="4"/>
  <c r="B35" i="4"/>
  <c r="A35" i="4"/>
  <c r="C34" i="4"/>
  <c r="B34" i="4"/>
  <c r="A34" i="4"/>
  <c r="B33" i="4"/>
  <c r="F33" i="4" s="1"/>
  <c r="A33" i="4"/>
  <c r="F32" i="4"/>
  <c r="A32" i="4"/>
  <c r="E31" i="4"/>
  <c r="D31" i="4"/>
  <c r="C31" i="4"/>
  <c r="B31" i="4"/>
  <c r="A30" i="4"/>
  <c r="D22" i="4"/>
  <c r="C22" i="4"/>
  <c r="B22" i="4"/>
  <c r="F22" i="4" s="1"/>
  <c r="A22" i="4"/>
  <c r="C21" i="4"/>
  <c r="B21" i="4"/>
  <c r="A21" i="4"/>
  <c r="B20" i="4"/>
  <c r="F20" i="4" s="1"/>
  <c r="A20" i="4"/>
  <c r="F19" i="4"/>
  <c r="A19" i="4"/>
  <c r="E18" i="4"/>
  <c r="D18" i="4"/>
  <c r="C18" i="4"/>
  <c r="B18" i="4"/>
  <c r="A17" i="4"/>
  <c r="E10" i="4"/>
  <c r="D10" i="4"/>
  <c r="C10" i="4"/>
  <c r="B10" i="4"/>
  <c r="A10" i="4"/>
  <c r="D9" i="4"/>
  <c r="C9" i="4"/>
  <c r="B9" i="4"/>
  <c r="A9" i="4"/>
  <c r="C8" i="4"/>
  <c r="B8" i="4"/>
  <c r="G8" i="4" s="1"/>
  <c r="A8" i="4"/>
  <c r="B7" i="4"/>
  <c r="A7" i="4"/>
  <c r="G6" i="4"/>
  <c r="A6" i="4"/>
  <c r="F5" i="4"/>
  <c r="E5" i="4"/>
  <c r="D5" i="4"/>
  <c r="C5" i="4"/>
  <c r="B5" i="4"/>
  <c r="A1" i="4"/>
  <c r="D74" i="3"/>
  <c r="C74" i="3"/>
  <c r="B74" i="3"/>
  <c r="A74" i="3"/>
  <c r="C73" i="3"/>
  <c r="B73" i="3"/>
  <c r="B73" i="5" s="1"/>
  <c r="A73" i="3"/>
  <c r="B72" i="3"/>
  <c r="A72" i="3"/>
  <c r="F71" i="3"/>
  <c r="A71" i="3"/>
  <c r="E70" i="3"/>
  <c r="D70" i="3"/>
  <c r="C70" i="3"/>
  <c r="B70" i="3"/>
  <c r="A69" i="3"/>
  <c r="D61" i="3"/>
  <c r="C61" i="3"/>
  <c r="B61" i="3"/>
  <c r="A61" i="3"/>
  <c r="C60" i="3"/>
  <c r="B60" i="3"/>
  <c r="A60" i="3"/>
  <c r="B59" i="3"/>
  <c r="A59" i="3"/>
  <c r="F58" i="3"/>
  <c r="A58" i="3"/>
  <c r="E57" i="3"/>
  <c r="D57" i="3"/>
  <c r="C57" i="3"/>
  <c r="B57" i="3"/>
  <c r="A56" i="3"/>
  <c r="D48" i="3"/>
  <c r="C48" i="3"/>
  <c r="B48" i="3"/>
  <c r="A48" i="3"/>
  <c r="C47" i="3"/>
  <c r="B47" i="3"/>
  <c r="A47" i="3"/>
  <c r="B46" i="3"/>
  <c r="F46" i="3" s="1"/>
  <c r="A46" i="3"/>
  <c r="F45" i="3"/>
  <c r="A45" i="3"/>
  <c r="E44" i="3"/>
  <c r="D44" i="3"/>
  <c r="C44" i="3"/>
  <c r="B44" i="3"/>
  <c r="A43" i="3"/>
  <c r="D35" i="3"/>
  <c r="C35" i="3"/>
  <c r="B35" i="3"/>
  <c r="A35" i="3"/>
  <c r="C34" i="3"/>
  <c r="B34" i="3"/>
  <c r="A34" i="3"/>
  <c r="B33" i="3"/>
  <c r="A33" i="3"/>
  <c r="F32" i="3"/>
  <c r="A32" i="3"/>
  <c r="E31" i="3"/>
  <c r="D31" i="3"/>
  <c r="C31" i="3"/>
  <c r="B31" i="3"/>
  <c r="A30" i="3"/>
  <c r="D22" i="3"/>
  <c r="C22" i="3"/>
  <c r="B22" i="3"/>
  <c r="A22" i="3"/>
  <c r="C21" i="3"/>
  <c r="B21" i="3"/>
  <c r="A21" i="3"/>
  <c r="B20" i="3"/>
  <c r="A20" i="3"/>
  <c r="F19" i="3"/>
  <c r="A19" i="3"/>
  <c r="E18" i="3"/>
  <c r="D18" i="3"/>
  <c r="C18" i="3"/>
  <c r="B18" i="3"/>
  <c r="A17" i="3"/>
  <c r="E10" i="3"/>
  <c r="D10" i="3"/>
  <c r="C10" i="3"/>
  <c r="B10" i="3"/>
  <c r="A10" i="3"/>
  <c r="D9" i="3"/>
  <c r="C9" i="3"/>
  <c r="B9" i="3"/>
  <c r="A9" i="3"/>
  <c r="C8" i="3"/>
  <c r="B8" i="3"/>
  <c r="A8" i="3"/>
  <c r="B7" i="3"/>
  <c r="G7" i="3" s="1"/>
  <c r="A7" i="3"/>
  <c r="G6" i="3"/>
  <c r="A6" i="3"/>
  <c r="F5" i="3"/>
  <c r="E5" i="3"/>
  <c r="D5" i="3"/>
  <c r="C5" i="3"/>
  <c r="B5" i="3"/>
  <c r="A1" i="3"/>
  <c r="D74" i="2"/>
  <c r="D74" i="5" s="1"/>
  <c r="C74" i="2"/>
  <c r="B74" i="2"/>
  <c r="A74" i="2"/>
  <c r="C73" i="2"/>
  <c r="F73" i="2" s="1"/>
  <c r="B73" i="2"/>
  <c r="A73" i="2"/>
  <c r="A72" i="2"/>
  <c r="C71" i="2"/>
  <c r="B72" i="2" s="1"/>
  <c r="A71" i="2"/>
  <c r="E70" i="2"/>
  <c r="D70" i="2"/>
  <c r="C70" i="2"/>
  <c r="B70" i="2"/>
  <c r="A69" i="2"/>
  <c r="D61" i="2"/>
  <c r="C61" i="2"/>
  <c r="B61" i="2"/>
  <c r="F61" i="2" s="1"/>
  <c r="A61" i="2"/>
  <c r="A60" i="2"/>
  <c r="D59" i="2"/>
  <c r="B59" i="2"/>
  <c r="A59" i="2"/>
  <c r="D58" i="2"/>
  <c r="A58" i="2"/>
  <c r="E57" i="2"/>
  <c r="D57" i="2"/>
  <c r="C57" i="2"/>
  <c r="B57" i="2"/>
  <c r="A56" i="2"/>
  <c r="D48" i="2"/>
  <c r="C48" i="2"/>
  <c r="B48" i="2"/>
  <c r="A48" i="2"/>
  <c r="A47" i="2"/>
  <c r="D46" i="2"/>
  <c r="B46" i="2"/>
  <c r="A46" i="2"/>
  <c r="D45" i="2"/>
  <c r="D45" i="5" s="1"/>
  <c r="A45" i="2"/>
  <c r="E44" i="2"/>
  <c r="D44" i="2"/>
  <c r="C44" i="2"/>
  <c r="B44" i="2"/>
  <c r="A43" i="2"/>
  <c r="A35" i="2"/>
  <c r="E34" i="2"/>
  <c r="C34" i="2"/>
  <c r="B34" i="2"/>
  <c r="A34" i="2"/>
  <c r="E33" i="2"/>
  <c r="E33" i="5" s="1"/>
  <c r="B33" i="2"/>
  <c r="A33" i="2"/>
  <c r="E32" i="2"/>
  <c r="A32" i="2"/>
  <c r="E31" i="2"/>
  <c r="D31" i="2"/>
  <c r="C31" i="2"/>
  <c r="B31" i="2"/>
  <c r="A30" i="2"/>
  <c r="D22" i="2"/>
  <c r="D22" i="5" s="1"/>
  <c r="C22" i="2"/>
  <c r="B22" i="2"/>
  <c r="A22" i="2"/>
  <c r="A21" i="2"/>
  <c r="D20" i="2"/>
  <c r="A20" i="2"/>
  <c r="D19" i="2"/>
  <c r="D19" i="5" s="1"/>
  <c r="C19" i="2"/>
  <c r="A19" i="2"/>
  <c r="E18" i="2"/>
  <c r="D18" i="2"/>
  <c r="C18" i="2"/>
  <c r="B18" i="2"/>
  <c r="A17" i="2"/>
  <c r="D10" i="2"/>
  <c r="C10" i="2"/>
  <c r="B10" i="2"/>
  <c r="A10" i="2"/>
  <c r="F9" i="2"/>
  <c r="D9" i="2"/>
  <c r="C9" i="2"/>
  <c r="B9" i="2"/>
  <c r="A9" i="2"/>
  <c r="A8" i="2"/>
  <c r="D7" i="2"/>
  <c r="D7" i="5" s="1"/>
  <c r="A7" i="2"/>
  <c r="G6" i="2"/>
  <c r="D6" i="2"/>
  <c r="D6" i="5" s="1"/>
  <c r="C6" i="2"/>
  <c r="C6" i="5" s="1"/>
  <c r="A6" i="2"/>
  <c r="F5" i="2"/>
  <c r="E5" i="2"/>
  <c r="D5" i="2"/>
  <c r="C5" i="2"/>
  <c r="B5" i="2"/>
  <c r="A1" i="2"/>
  <c r="C74" i="5" l="1"/>
  <c r="B74" i="5"/>
  <c r="F74" i="5" s="1"/>
  <c r="F73" i="4"/>
  <c r="F61" i="4"/>
  <c r="D48" i="5"/>
  <c r="F21" i="4"/>
  <c r="G21" i="4"/>
  <c r="C10" i="5"/>
  <c r="D9" i="5"/>
  <c r="C35" i="2"/>
  <c r="B47" i="2"/>
  <c r="F60" i="3"/>
  <c r="C71" i="5"/>
  <c r="F71" i="5" s="1"/>
  <c r="C35" i="5"/>
  <c r="B22" i="5"/>
  <c r="F22" i="5" s="1"/>
  <c r="F61" i="3"/>
  <c r="F48" i="2"/>
  <c r="F71" i="2"/>
  <c r="F34" i="3"/>
  <c r="B7" i="2"/>
  <c r="G9" i="3"/>
  <c r="G61" i="4"/>
  <c r="F35" i="3"/>
  <c r="F48" i="4"/>
  <c r="C73" i="5"/>
  <c r="F73" i="5" s="1"/>
  <c r="F73" i="3"/>
  <c r="C61" i="5"/>
  <c r="B61" i="5"/>
  <c r="F47" i="3"/>
  <c r="C34" i="5"/>
  <c r="F22" i="3"/>
  <c r="D10" i="5"/>
  <c r="G10" i="3"/>
  <c r="G8" i="3"/>
  <c r="H8" i="3" s="1"/>
  <c r="G6" i="5"/>
  <c r="C9" i="5"/>
  <c r="G9" i="2"/>
  <c r="H7" i="3"/>
  <c r="D35" i="2"/>
  <c r="D35" i="5" s="1"/>
  <c r="E34" i="5"/>
  <c r="F74" i="2"/>
  <c r="E32" i="5"/>
  <c r="F32" i="5" s="1"/>
  <c r="B35" i="2"/>
  <c r="F32" i="2"/>
  <c r="C22" i="5"/>
  <c r="F22" i="2"/>
  <c r="H10" i="3"/>
  <c r="G7" i="2"/>
  <c r="B7" i="5"/>
  <c r="C60" i="2"/>
  <c r="C60" i="5" s="1"/>
  <c r="D59" i="5"/>
  <c r="F59" i="2"/>
  <c r="F45" i="5"/>
  <c r="F19" i="5"/>
  <c r="G9" i="4"/>
  <c r="G22" i="4"/>
  <c r="F47" i="4"/>
  <c r="F72" i="3"/>
  <c r="G60" i="4"/>
  <c r="C8" i="2"/>
  <c r="C8" i="5" s="1"/>
  <c r="B21" i="2"/>
  <c r="B48" i="5"/>
  <c r="F20" i="3"/>
  <c r="G7" i="4"/>
  <c r="G20" i="4"/>
  <c r="F34" i="4"/>
  <c r="D20" i="5"/>
  <c r="C21" i="2"/>
  <c r="C21" i="5" s="1"/>
  <c r="B47" i="5"/>
  <c r="D58" i="5"/>
  <c r="F58" i="5" s="1"/>
  <c r="B60" i="2"/>
  <c r="F58" i="2"/>
  <c r="G59" i="4"/>
  <c r="E10" i="2"/>
  <c r="F9" i="5"/>
  <c r="B72" i="5"/>
  <c r="F72" i="2"/>
  <c r="B33" i="5"/>
  <c r="F33" i="2"/>
  <c r="F45" i="2"/>
  <c r="B20" i="2"/>
  <c r="F19" i="2"/>
  <c r="B46" i="5"/>
  <c r="F46" i="2"/>
  <c r="B9" i="5"/>
  <c r="G58" i="4"/>
  <c r="F34" i="2"/>
  <c r="B34" i="5"/>
  <c r="F33" i="3"/>
  <c r="F59" i="3"/>
  <c r="B59" i="5"/>
  <c r="D61" i="5"/>
  <c r="F61" i="5" s="1"/>
  <c r="F21" i="3"/>
  <c r="F35" i="4"/>
  <c r="G35" i="4" s="1"/>
  <c r="D46" i="5"/>
  <c r="C47" i="2"/>
  <c r="C47" i="5" s="1"/>
  <c r="C48" i="5"/>
  <c r="B8" i="2"/>
  <c r="F48" i="3"/>
  <c r="G19" i="4"/>
  <c r="F74" i="3"/>
  <c r="G10" i="4"/>
  <c r="B10" i="5"/>
  <c r="F72" i="4"/>
  <c r="G73" i="4" s="1"/>
  <c r="G45" i="4" l="1"/>
  <c r="H22" i="4"/>
  <c r="I22" i="4" s="1"/>
  <c r="H10" i="4"/>
  <c r="G59" i="3"/>
  <c r="G33" i="3"/>
  <c r="G33" i="4"/>
  <c r="G73" i="3"/>
  <c r="G74" i="3"/>
  <c r="G46" i="3"/>
  <c r="G48" i="3"/>
  <c r="G45" i="3"/>
  <c r="G20" i="3"/>
  <c r="H9" i="3"/>
  <c r="H6" i="3"/>
  <c r="G60" i="3"/>
  <c r="F48" i="5"/>
  <c r="F47" i="2"/>
  <c r="G47" i="2" s="1"/>
  <c r="F21" i="2"/>
  <c r="B21" i="5"/>
  <c r="F72" i="5"/>
  <c r="G72" i="5" s="1"/>
  <c r="F86" i="5" s="1"/>
  <c r="H58" i="4"/>
  <c r="I58" i="4" s="1"/>
  <c r="H60" i="4"/>
  <c r="I60" i="4" s="1"/>
  <c r="H61" i="4"/>
  <c r="I61" i="4" s="1"/>
  <c r="H59" i="4"/>
  <c r="I59" i="4" s="1"/>
  <c r="G72" i="4"/>
  <c r="G71" i="4"/>
  <c r="H8" i="4"/>
  <c r="G45" i="2"/>
  <c r="E10" i="5"/>
  <c r="G10" i="5" s="1"/>
  <c r="G10" i="2"/>
  <c r="G74" i="4"/>
  <c r="G48" i="2"/>
  <c r="F46" i="5"/>
  <c r="G34" i="3"/>
  <c r="B35" i="5"/>
  <c r="F35" i="2"/>
  <c r="G35" i="2" s="1"/>
  <c r="G58" i="3"/>
  <c r="G35" i="3"/>
  <c r="G72" i="2"/>
  <c r="G71" i="2"/>
  <c r="G22" i="3"/>
  <c r="F47" i="5"/>
  <c r="G32" i="3"/>
  <c r="G9" i="5"/>
  <c r="H7" i="2"/>
  <c r="B60" i="5"/>
  <c r="F60" i="2"/>
  <c r="G60" i="2" s="1"/>
  <c r="G47" i="4"/>
  <c r="G46" i="4"/>
  <c r="F34" i="5"/>
  <c r="B20" i="5"/>
  <c r="F20" i="2"/>
  <c r="G20" i="2" s="1"/>
  <c r="H6" i="2"/>
  <c r="G19" i="3"/>
  <c r="G32" i="4"/>
  <c r="G21" i="3"/>
  <c r="G34" i="4"/>
  <c r="H9" i="4"/>
  <c r="H21" i="4"/>
  <c r="I21" i="4" s="1"/>
  <c r="H19" i="4"/>
  <c r="I19" i="4" s="1"/>
  <c r="H20" i="4"/>
  <c r="I20" i="4" s="1"/>
  <c r="F33" i="5"/>
  <c r="G72" i="3"/>
  <c r="G71" i="3"/>
  <c r="G48" i="4"/>
  <c r="F59" i="5"/>
  <c r="G74" i="2"/>
  <c r="B8" i="5"/>
  <c r="G8" i="2"/>
  <c r="G73" i="2"/>
  <c r="H7" i="4"/>
  <c r="H6" i="4"/>
  <c r="G61" i="3"/>
  <c r="G7" i="5"/>
  <c r="G47" i="3"/>
  <c r="G33" i="2" l="1"/>
  <c r="I8" i="3"/>
  <c r="J8" i="3" s="1"/>
  <c r="H46" i="3"/>
  <c r="I46" i="3" s="1"/>
  <c r="G34" i="2"/>
  <c r="G59" i="2"/>
  <c r="G74" i="5"/>
  <c r="F88" i="5" s="1"/>
  <c r="G61" i="2"/>
  <c r="H10" i="2"/>
  <c r="B23" i="4"/>
  <c r="D23" i="4" s="1"/>
  <c r="F23" i="4" s="1"/>
  <c r="G23" i="4" s="1"/>
  <c r="H47" i="4"/>
  <c r="I47" i="4" s="1"/>
  <c r="G58" i="2"/>
  <c r="H58" i="2" s="1"/>
  <c r="I58" i="2" s="1"/>
  <c r="G19" i="2"/>
  <c r="H19" i="2" s="1"/>
  <c r="I19" i="2" s="1"/>
  <c r="H45" i="3"/>
  <c r="I45" i="3" s="1"/>
  <c r="G48" i="5"/>
  <c r="D88" i="5" s="1"/>
  <c r="H48" i="3"/>
  <c r="I48" i="3" s="1"/>
  <c r="I10" i="3"/>
  <c r="J10" i="3" s="1"/>
  <c r="I7" i="3"/>
  <c r="J7" i="3" s="1"/>
  <c r="I6" i="3"/>
  <c r="J6" i="3" s="1"/>
  <c r="I9" i="3"/>
  <c r="J9" i="3" s="1"/>
  <c r="F60" i="5"/>
  <c r="G60" i="5" s="1"/>
  <c r="E87" i="5" s="1"/>
  <c r="H61" i="3"/>
  <c r="I61" i="3" s="1"/>
  <c r="H60" i="3"/>
  <c r="I60" i="3" s="1"/>
  <c r="H58" i="3"/>
  <c r="I58" i="3" s="1"/>
  <c r="H59" i="3"/>
  <c r="I59" i="3" s="1"/>
  <c r="B62" i="4"/>
  <c r="D62" i="4" s="1"/>
  <c r="F62" i="4" s="1"/>
  <c r="G62" i="4" s="1"/>
  <c r="I8" i="4"/>
  <c r="J8" i="4" s="1"/>
  <c r="I6" i="4"/>
  <c r="J6" i="4" s="1"/>
  <c r="I9" i="4"/>
  <c r="J9" i="4" s="1"/>
  <c r="I7" i="4"/>
  <c r="J7" i="4" s="1"/>
  <c r="I10" i="4"/>
  <c r="J10" i="4" s="1"/>
  <c r="G45" i="5"/>
  <c r="H71" i="3"/>
  <c r="I71" i="3" s="1"/>
  <c r="H73" i="3"/>
  <c r="I73" i="3" s="1"/>
  <c r="H72" i="3"/>
  <c r="I72" i="3" s="1"/>
  <c r="H74" i="3"/>
  <c r="I74" i="3" s="1"/>
  <c r="F20" i="5"/>
  <c r="H48" i="2"/>
  <c r="I48" i="2" s="1"/>
  <c r="G22" i="2"/>
  <c r="H32" i="3"/>
  <c r="I32" i="3" s="1"/>
  <c r="H33" i="3"/>
  <c r="I33" i="3" s="1"/>
  <c r="H35" i="3"/>
  <c r="I35" i="3" s="1"/>
  <c r="H34" i="3"/>
  <c r="I34" i="3" s="1"/>
  <c r="F35" i="5"/>
  <c r="H48" i="4"/>
  <c r="I48" i="4" s="1"/>
  <c r="H32" i="4"/>
  <c r="I32" i="4" s="1"/>
  <c r="H33" i="4"/>
  <c r="I33" i="4" s="1"/>
  <c r="H35" i="4"/>
  <c r="I35" i="4" s="1"/>
  <c r="H34" i="4"/>
  <c r="I34" i="4" s="1"/>
  <c r="G47" i="5"/>
  <c r="D87" i="5" s="1"/>
  <c r="H71" i="4"/>
  <c r="I71" i="4" s="1"/>
  <c r="H74" i="4"/>
  <c r="I74" i="4" s="1"/>
  <c r="H73" i="4"/>
  <c r="I73" i="4" s="1"/>
  <c r="H72" i="4"/>
  <c r="I72" i="4" s="1"/>
  <c r="F21" i="5"/>
  <c r="H46" i="4"/>
  <c r="I46" i="4" s="1"/>
  <c r="H8" i="2"/>
  <c r="H22" i="3"/>
  <c r="I22" i="3" s="1"/>
  <c r="H19" i="3"/>
  <c r="I19" i="3" s="1"/>
  <c r="H21" i="3"/>
  <c r="I21" i="3" s="1"/>
  <c r="H20" i="3"/>
  <c r="I20" i="3" s="1"/>
  <c r="H9" i="2"/>
  <c r="I6" i="2" s="1"/>
  <c r="J6" i="2" s="1"/>
  <c r="G21" i="2"/>
  <c r="H45" i="4"/>
  <c r="I45" i="4" s="1"/>
  <c r="I8" i="2"/>
  <c r="J8" i="2" s="1"/>
  <c r="G46" i="5"/>
  <c r="D86" i="5" s="1"/>
  <c r="H47" i="3"/>
  <c r="I47" i="3" s="1"/>
  <c r="G46" i="2"/>
  <c r="H46" i="2" s="1"/>
  <c r="I46" i="2" s="1"/>
  <c r="G8" i="5"/>
  <c r="H8" i="5" s="1"/>
  <c r="D84" i="5" s="1"/>
  <c r="G73" i="5"/>
  <c r="F87" i="5" s="1"/>
  <c r="H73" i="2"/>
  <c r="I73" i="2" s="1"/>
  <c r="H71" i="2"/>
  <c r="I71" i="2" s="1"/>
  <c r="H72" i="2"/>
  <c r="I72" i="2" s="1"/>
  <c r="H74" i="2"/>
  <c r="I74" i="2" s="1"/>
  <c r="G71" i="5"/>
  <c r="H60" i="2"/>
  <c r="I60" i="2" s="1"/>
  <c r="G32" i="2"/>
  <c r="H45" i="2" l="1"/>
  <c r="I45" i="2" s="1"/>
  <c r="H22" i="2"/>
  <c r="I22" i="2" s="1"/>
  <c r="B36" i="4"/>
  <c r="D36" i="4" s="1"/>
  <c r="F36" i="4" s="1"/>
  <c r="G36" i="4" s="1"/>
  <c r="H61" i="2"/>
  <c r="I61" i="2" s="1"/>
  <c r="H59" i="2"/>
  <c r="I59" i="2" s="1"/>
  <c r="H20" i="2"/>
  <c r="I20" i="2" s="1"/>
  <c r="B49" i="3"/>
  <c r="D49" i="3" s="1"/>
  <c r="F49" i="3" s="1"/>
  <c r="G49" i="3" s="1"/>
  <c r="B23" i="3"/>
  <c r="D23" i="3" s="1"/>
  <c r="F23" i="3" s="1"/>
  <c r="G23" i="3" s="1"/>
  <c r="B11" i="3"/>
  <c r="D11" i="3" s="1"/>
  <c r="F11" i="3" s="1"/>
  <c r="G11" i="3" s="1"/>
  <c r="H10" i="5"/>
  <c r="F84" i="5" s="1"/>
  <c r="H6" i="5"/>
  <c r="B84" i="5" s="1"/>
  <c r="H7" i="5"/>
  <c r="C84" i="5" s="1"/>
  <c r="H9" i="5"/>
  <c r="E84" i="5" s="1"/>
  <c r="G20" i="5"/>
  <c r="B86" i="5" s="1"/>
  <c r="G22" i="5"/>
  <c r="B88" i="5" s="1"/>
  <c r="G19" i="5"/>
  <c r="G35" i="5"/>
  <c r="C88" i="5" s="1"/>
  <c r="G32" i="5"/>
  <c r="B75" i="3"/>
  <c r="D75" i="3" s="1"/>
  <c r="F75" i="3" s="1"/>
  <c r="G75" i="3" s="1"/>
  <c r="I7" i="2"/>
  <c r="J7" i="2" s="1"/>
  <c r="B36" i="3"/>
  <c r="D36" i="3" s="1"/>
  <c r="F36" i="3" s="1"/>
  <c r="G36" i="3" s="1"/>
  <c r="D85" i="5"/>
  <c r="H45" i="5"/>
  <c r="I45" i="5" s="1"/>
  <c r="H46" i="5"/>
  <c r="I46" i="5" s="1"/>
  <c r="H47" i="5"/>
  <c r="I47" i="5" s="1"/>
  <c r="H48" i="5"/>
  <c r="I48" i="5" s="1"/>
  <c r="B62" i="2"/>
  <c r="D62" i="2" s="1"/>
  <c r="F62" i="2" s="1"/>
  <c r="G62" i="2" s="1"/>
  <c r="I9" i="2"/>
  <c r="J9" i="2" s="1"/>
  <c r="B75" i="2"/>
  <c r="D75" i="2" s="1"/>
  <c r="F75" i="2" s="1"/>
  <c r="G75" i="2" s="1"/>
  <c r="I10" i="2"/>
  <c r="J10" i="2" s="1"/>
  <c r="F85" i="5"/>
  <c r="H73" i="5"/>
  <c r="I73" i="5" s="1"/>
  <c r="H74" i="5"/>
  <c r="I74" i="5" s="1"/>
  <c r="H71" i="5"/>
  <c r="I71" i="5" s="1"/>
  <c r="H72" i="5"/>
  <c r="I72" i="5" s="1"/>
  <c r="G34" i="5"/>
  <c r="C87" i="5" s="1"/>
  <c r="G33" i="5"/>
  <c r="C86" i="5" s="1"/>
  <c r="B11" i="4"/>
  <c r="D11" i="4" s="1"/>
  <c r="F11" i="4" s="1"/>
  <c r="G11" i="4" s="1"/>
  <c r="G21" i="5"/>
  <c r="B87" i="5" s="1"/>
  <c r="B49" i="4"/>
  <c r="D49" i="4" s="1"/>
  <c r="F49" i="4" s="1"/>
  <c r="G49" i="4" s="1"/>
  <c r="B75" i="4"/>
  <c r="D75" i="4" s="1"/>
  <c r="F75" i="4" s="1"/>
  <c r="G75" i="4" s="1"/>
  <c r="G61" i="5"/>
  <c r="E88" i="5" s="1"/>
  <c r="B62" i="3"/>
  <c r="D62" i="3" s="1"/>
  <c r="F62" i="3" s="1"/>
  <c r="G62" i="3" s="1"/>
  <c r="G58" i="5"/>
  <c r="H47" i="2"/>
  <c r="I47" i="2" s="1"/>
  <c r="B49" i="2" s="1"/>
  <c r="D49" i="2" s="1"/>
  <c r="F49" i="2" s="1"/>
  <c r="G49" i="2" s="1"/>
  <c r="G59" i="5"/>
  <c r="E86" i="5" s="1"/>
  <c r="H32" i="2"/>
  <c r="I32" i="2" s="1"/>
  <c r="H33" i="2"/>
  <c r="I33" i="2" s="1"/>
  <c r="H34" i="2"/>
  <c r="I34" i="2" s="1"/>
  <c r="H35" i="2"/>
  <c r="I35" i="2" s="1"/>
  <c r="H21" i="2"/>
  <c r="I21" i="2" s="1"/>
  <c r="B23" i="2" s="1"/>
  <c r="D23" i="2" s="1"/>
  <c r="F23" i="2" s="1"/>
  <c r="G23" i="2" s="1"/>
  <c r="B11" i="2" l="1"/>
  <c r="D11" i="2" s="1"/>
  <c r="F11" i="2" s="1"/>
  <c r="G11" i="2" s="1"/>
  <c r="B75" i="5"/>
  <c r="D75" i="5" s="1"/>
  <c r="F75" i="5" s="1"/>
  <c r="G75" i="5" s="1"/>
  <c r="B49" i="5"/>
  <c r="D49" i="5" s="1"/>
  <c r="F49" i="5" s="1"/>
  <c r="G49" i="5" s="1"/>
  <c r="I6" i="5"/>
  <c r="J6" i="5" s="1"/>
  <c r="I10" i="5"/>
  <c r="J10" i="5" s="1"/>
  <c r="I9" i="5"/>
  <c r="J9" i="5" s="1"/>
  <c r="I8" i="5"/>
  <c r="J8" i="5" s="1"/>
  <c r="I7" i="5"/>
  <c r="J7" i="5" s="1"/>
  <c r="B36" i="2"/>
  <c r="D36" i="2" s="1"/>
  <c r="F36" i="2" s="1"/>
  <c r="G36" i="2" s="1"/>
  <c r="H32" i="5"/>
  <c r="I32" i="5" s="1"/>
  <c r="C85" i="5"/>
  <c r="H34" i="5"/>
  <c r="I34" i="5" s="1"/>
  <c r="H33" i="5"/>
  <c r="I33" i="5" s="1"/>
  <c r="H35" i="5"/>
  <c r="I35" i="5" s="1"/>
  <c r="G87" i="5"/>
  <c r="E85" i="5"/>
  <c r="H61" i="5"/>
  <c r="I61" i="5" s="1"/>
  <c r="H58" i="5"/>
  <c r="I58" i="5" s="1"/>
  <c r="H59" i="5"/>
  <c r="I59" i="5" s="1"/>
  <c r="H60" i="5"/>
  <c r="I60" i="5" s="1"/>
  <c r="G88" i="5"/>
  <c r="B85" i="5"/>
  <c r="H19" i="5"/>
  <c r="I19" i="5" s="1"/>
  <c r="H22" i="5"/>
  <c r="I22" i="5" s="1"/>
  <c r="H20" i="5"/>
  <c r="I20" i="5" s="1"/>
  <c r="H21" i="5"/>
  <c r="I21" i="5" s="1"/>
  <c r="G86" i="5"/>
  <c r="B23" i="5" l="1"/>
  <c r="D23" i="5" s="1"/>
  <c r="F23" i="5" s="1"/>
  <c r="G23" i="5" s="1"/>
  <c r="B11" i="5"/>
  <c r="D11" i="5" s="1"/>
  <c r="F11" i="5" s="1"/>
  <c r="G11" i="5" s="1"/>
  <c r="B62" i="5"/>
  <c r="D62" i="5" s="1"/>
  <c r="F62" i="5" s="1"/>
  <c r="G62" i="5" s="1"/>
  <c r="G85" i="5"/>
  <c r="H86" i="5" s="1"/>
  <c r="B36" i="5"/>
  <c r="D36" i="5" s="1"/>
  <c r="F36" i="5" s="1"/>
  <c r="G36" i="5" s="1"/>
  <c r="H88" i="5" l="1"/>
  <c r="H87" i="5"/>
  <c r="B91" i="5"/>
  <c r="G89" i="5"/>
  <c r="H85" i="5"/>
</calcChain>
</file>

<file path=xl/sharedStrings.xml><?xml version="1.0" encoding="utf-8"?>
<sst xmlns="http://schemas.openxmlformats.org/spreadsheetml/2006/main" count="226" uniqueCount="56">
  <si>
    <t>Справочник: эксперты, альтернативы, критерии</t>
  </si>
  <si>
    <t>Названия меняются только здесь, остальные листы ссылаются на них формулами.</t>
  </si>
  <si>
    <t>Эксперты</t>
  </si>
  <si>
    <t>Э1</t>
  </si>
  <si>
    <t>Петров Артем</t>
  </si>
  <si>
    <t>Э2</t>
  </si>
  <si>
    <t>Попова Полина</t>
  </si>
  <si>
    <t>Э3</t>
  </si>
  <si>
    <t>Пауликайте Елона</t>
  </si>
  <si>
    <t>Код</t>
  </si>
  <si>
    <t>Альтернатива (кратко)</t>
  </si>
  <si>
    <t>Описание</t>
  </si>
  <si>
    <t>A1</t>
  </si>
  <si>
    <t>Бронь</t>
  </si>
  <si>
    <t>Бронирование переговорных и рабочих мест</t>
  </si>
  <si>
    <t>A2</t>
  </si>
  <si>
    <t>Бюджет</t>
  </si>
  <si>
    <t>Совместный семейный бюджет</t>
  </si>
  <si>
    <t>A3</t>
  </si>
  <si>
    <t>Запись</t>
  </si>
  <si>
    <t>Онлайн-запись к мастеру</t>
  </si>
  <si>
    <t>A4</t>
  </si>
  <si>
    <t>Привычки</t>
  </si>
  <si>
    <t>Трекер привычек с челленджами</t>
  </si>
  <si>
    <t>Критерий</t>
  </si>
  <si>
    <t>Тип (+ польза / - затраты)</t>
  </si>
  <si>
    <t>K1</t>
  </si>
  <si>
    <t>Востребованность</t>
  </si>
  <si>
    <t>+</t>
  </si>
  <si>
    <t>K2</t>
  </si>
  <si>
    <t>Простота реализации MVP</t>
  </si>
  <si>
    <t>K3</t>
  </si>
  <si>
    <t>Пригодность для оценки и планирования</t>
  </si>
  <si>
    <t>K4</t>
  </si>
  <si>
    <t>Потенциал монетизации</t>
  </si>
  <si>
    <t>K5</t>
  </si>
  <si>
    <t>Интерес и экспертиза команды</t>
  </si>
  <si>
    <t>Заполнить желтые ячейки выше диагонали по шкале Саати 1-9. Если элемент строки хуже элемента столбца: =1/3, =1/5 и т.д.</t>
  </si>
  <si>
    <t>Критерии (относительно цели: выбор концепции)</t>
  </si>
  <si>
    <t>Среднее геом. строки</t>
  </si>
  <si>
    <t>Вес w</t>
  </si>
  <si>
    <t>(A*w)i</t>
  </si>
  <si>
    <t>(A*w)i / wi</t>
  </si>
  <si>
    <t>lambda max</t>
  </si>
  <si>
    <t>CI</t>
  </si>
  <si>
    <t>CR (RI=1.12)</t>
  </si>
  <si>
    <t>CR (RI=0.9)</t>
  </si>
  <si>
    <t>Четкий коллективный МАИ: агрегирование индивидуальных суждений средним геометрическим (AIJ)</t>
  </si>
  <si>
    <t>a_ij = GEOMEAN(a_ij эксперта 1, 2, 3); веса - нормированное среднее геометрическое строк; CR = CI/RI</t>
  </si>
  <si>
    <t>Синтез: глобальные приоритеты альтернатив</t>
  </si>
  <si>
    <t>Альтернатива \ критерий</t>
  </si>
  <si>
    <t>Глобальный приоритет</t>
  </si>
  <si>
    <t>Ранг</t>
  </si>
  <si>
    <t>Вес критерия</t>
  </si>
  <si>
    <t>Сумма (контроль = 1)</t>
  </si>
  <si>
    <t>Максимальный CR коллективных матриц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</si>
</sst>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 x14ac:knownFonts="1">
    <font>
      <sz val="11"/>
      <color theme="1"/>
      <name val="Calibri"/>
      <family val="2"/>
      <scheme val="minor"/>
    </font>
    <font>
      <b/>
      <sz val="13"/>
      <name val="Calibri"/>
    </font>
    <font>
      <b/>
      <sz val="11"/>
      <name val="Calibri"/>
    </font>
  </fonts>
  <fills count="5">
    <fill>
      <patternFill patternType="none"/>
    </fill>
    <fill>
      <patternFill patternType="gray125"/>
    </fill>
    <fill>
      <patternFill patternType="solid">
        <fgColor rgb="FFE7E6E6"/>
      </patternFill>
    </fill>
    <fill>
      <patternFill patternType="solid">
        <fgColor rgb="FFFFF2CC"/>
      </patternFill>
    </fill>
    <fill>
      <patternFill patternType="solid">
        <fgColor rgb="FFE2EFDA"/>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0" fillId="0" borderId="1" xfId="0" applyBorder="1"/>
    <xf numFmtId="0" fontId="2" fillId="2" borderId="1" xfId="0" applyFont="1" applyFill="1" applyBorder="1"/>
    <xf numFmtId="0" fontId="2" fillId="2" borderId="1" xfId="0" applyFont="1" applyFill="1" applyBorder="1" applyAlignment="1">
      <alignment wrapText="1"/>
    </xf>
    <xf numFmtId="164" fontId="0" fillId="2" borderId="1" xfId="0" applyNumberFormat="1" applyFill="1" applyBorder="1"/>
    <xf numFmtId="164" fontId="0" fillId="3" borderId="1" xfId="0" applyNumberFormat="1" applyFill="1" applyBorder="1"/>
    <xf numFmtId="164" fontId="0" fillId="0" borderId="1" xfId="0" applyNumberFormat="1" applyBorder="1"/>
    <xf numFmtId="165" fontId="0" fillId="4" borderId="1" xfId="0" applyNumberFormat="1" applyFill="1" applyBorder="1"/>
    <xf numFmtId="164" fontId="0" fillId="4" borderId="1" xfId="0" applyNumberFormat="1" applyFill="1" applyBorder="1"/>
    <xf numFmtId="0" fontId="2" fillId="0" borderId="1" xfId="0" applyFont="1" applyBorder="1"/>
    <xf numFmtId="165" fontId="2" fillId="0" borderId="1" xfId="0" applyNumberFormat="1" applyFont="1" applyBorder="1"/>
    <xf numFmtId="165" fontId="0" fillId="0" borderId="1" xfId="0" applyNumberFormat="1" applyBorder="1"/>
    <xf numFmtId="0" fontId="0" fillId="4" borderId="1" xfId="0" applyFill="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heetViews>
  <sheetFormatPr defaultRowHeight="14.4" x14ac:dyDescent="0.3"/>
  <cols>
    <col min="1" max="1" width="8" customWidth="1"/>
    <col min="2" max="2" width="40" customWidth="1"/>
    <col min="3" max="3" width="45" customWidth="1"/>
  </cols>
  <sheetData>
    <row r="1" spans="1:3" ht="17.399999999999999" x14ac:dyDescent="0.35">
      <c r="A1" s="1" t="s">
        <v>0</v>
      </c>
    </row>
    <row r="2" spans="1:3" x14ac:dyDescent="0.3">
      <c r="A2" t="s">
        <v>1</v>
      </c>
    </row>
    <row r="3" spans="1:3" x14ac:dyDescent="0.3">
      <c r="A3" s="2" t="s">
        <v>2</v>
      </c>
    </row>
    <row r="4" spans="1:3" x14ac:dyDescent="0.3">
      <c r="A4" s="3" t="s">
        <v>3</v>
      </c>
      <c r="B4" s="3" t="s">
        <v>4</v>
      </c>
    </row>
    <row r="5" spans="1:3" x14ac:dyDescent="0.3">
      <c r="A5" s="3" t="s">
        <v>5</v>
      </c>
      <c r="B5" s="3" t="s">
        <v>6</v>
      </c>
    </row>
    <row r="6" spans="1:3" x14ac:dyDescent="0.3">
      <c r="A6" s="3" t="s">
        <v>7</v>
      </c>
      <c r="B6" s="3" t="s">
        <v>8</v>
      </c>
    </row>
    <row r="9" spans="1:3" x14ac:dyDescent="0.3">
      <c r="A9" s="4" t="s">
        <v>9</v>
      </c>
      <c r="B9" s="4" t="s">
        <v>10</v>
      </c>
      <c r="C9" s="4" t="s">
        <v>11</v>
      </c>
    </row>
    <row r="10" spans="1:3" x14ac:dyDescent="0.3">
      <c r="A10" s="3" t="s">
        <v>12</v>
      </c>
      <c r="B10" s="3" t="s">
        <v>13</v>
      </c>
      <c r="C10" s="3" t="s">
        <v>14</v>
      </c>
    </row>
    <row r="11" spans="1:3" x14ac:dyDescent="0.3">
      <c r="A11" s="3" t="s">
        <v>15</v>
      </c>
      <c r="B11" s="3" t="s">
        <v>16</v>
      </c>
      <c r="C11" s="3" t="s">
        <v>17</v>
      </c>
    </row>
    <row r="12" spans="1:3" x14ac:dyDescent="0.3">
      <c r="A12" s="3" t="s">
        <v>18</v>
      </c>
      <c r="B12" s="3" t="s">
        <v>19</v>
      </c>
      <c r="C12" s="3" t="s">
        <v>20</v>
      </c>
    </row>
    <row r="13" spans="1:3" x14ac:dyDescent="0.3">
      <c r="A13" s="3" t="s">
        <v>21</v>
      </c>
      <c r="B13" s="3" t="s">
        <v>22</v>
      </c>
      <c r="C13" s="3" t="s">
        <v>23</v>
      </c>
    </row>
    <row r="16" spans="1:3" x14ac:dyDescent="0.3">
      <c r="A16" s="4" t="s">
        <v>9</v>
      </c>
      <c r="B16" s="4" t="s">
        <v>24</v>
      </c>
      <c r="C16" s="4" t="s">
        <v>25</v>
      </c>
    </row>
    <row r="17" spans="1:3" x14ac:dyDescent="0.3">
      <c r="A17" s="3" t="s">
        <v>26</v>
      </c>
      <c r="B17" s="3" t="s">
        <v>27</v>
      </c>
      <c r="C17" s="3" t="s">
        <v>28</v>
      </c>
    </row>
    <row r="18" spans="1:3" x14ac:dyDescent="0.3">
      <c r="A18" s="3" t="s">
        <v>29</v>
      </c>
      <c r="B18" s="3" t="s">
        <v>30</v>
      </c>
      <c r="C18" s="3" t="s">
        <v>28</v>
      </c>
    </row>
    <row r="19" spans="1:3" x14ac:dyDescent="0.3">
      <c r="A19" s="3" t="s">
        <v>31</v>
      </c>
      <c r="B19" s="3" t="s">
        <v>32</v>
      </c>
      <c r="C19" s="3" t="s">
        <v>28</v>
      </c>
    </row>
    <row r="20" spans="1:3" x14ac:dyDescent="0.3">
      <c r="A20" s="3" t="s">
        <v>33</v>
      </c>
      <c r="B20" s="3" t="s">
        <v>34</v>
      </c>
      <c r="C20" s="3" t="s">
        <v>28</v>
      </c>
    </row>
    <row r="21" spans="1:3" x14ac:dyDescent="0.3">
      <c r="A21" s="3" t="s">
        <v>35</v>
      </c>
      <c r="B21" s="3" t="s">
        <v>36</v>
      </c>
      <c r="C21"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5"/>
  <sheetViews>
    <sheetView topLeftCell="A50" workbookViewId="0"/>
  </sheetViews>
  <sheetFormatPr defaultRowHeight="14.4" x14ac:dyDescent="0.3"/>
  <cols>
    <col min="1" max="1" width="32" customWidth="1"/>
    <col min="2" max="11" width="13" customWidth="1"/>
  </cols>
  <sheetData>
    <row r="1" spans="1:10" ht="17.399999999999999" x14ac:dyDescent="0.35">
      <c r="A1" s="1" t="str">
        <f>"Попарные сравнения, эксперт 1: "&amp;Справочник!$B$4</f>
        <v>Попарные сравнения, эксперт 1: Петров Артем</v>
      </c>
    </row>
    <row r="2" spans="1:10" x14ac:dyDescent="0.3">
      <c r="A2" t="s">
        <v>37</v>
      </c>
    </row>
    <row r="4" spans="1:10" x14ac:dyDescent="0.3">
      <c r="A4" s="2" t="s">
        <v>38</v>
      </c>
    </row>
    <row r="5" spans="1:10" ht="45" customHeight="1" x14ac:dyDescent="0.3">
      <c r="A5" s="4"/>
      <c r="B5" s="5" t="str">
        <f>Справочник!$B$17</f>
        <v>Востребованность</v>
      </c>
      <c r="C5" s="5" t="str">
        <f>Справочник!$B$18</f>
        <v>Простота реализации MVP</v>
      </c>
      <c r="D5" s="5" t="str">
        <f>Справочник!$B$19</f>
        <v>Пригодность для оценки и планирования</v>
      </c>
      <c r="E5" s="5" t="str">
        <f>Справочник!$B$20</f>
        <v>Потенциал монетизации</v>
      </c>
      <c r="F5" s="5" t="str">
        <f>Справочник!$B$21</f>
        <v>Интерес и экспертиза команды</v>
      </c>
      <c r="G5" s="5" t="s">
        <v>39</v>
      </c>
      <c r="H5" s="5" t="s">
        <v>40</v>
      </c>
      <c r="I5" s="5" t="s">
        <v>41</v>
      </c>
      <c r="J5" s="5" t="s">
        <v>42</v>
      </c>
    </row>
    <row r="6" spans="1:10" x14ac:dyDescent="0.3">
      <c r="A6" s="3" t="str">
        <f>Справочник!$B$17</f>
        <v>Востребованность</v>
      </c>
      <c r="B6" s="6">
        <v>1</v>
      </c>
      <c r="C6" s="7">
        <f>1/2</f>
        <v>0.5</v>
      </c>
      <c r="D6" s="7">
        <f>1/3</f>
        <v>0.33333333333333331</v>
      </c>
      <c r="E6" s="7">
        <v>2</v>
      </c>
      <c r="F6" s="7">
        <v>1</v>
      </c>
      <c r="G6" s="8">
        <f>IF(COUNT(B6:F6)&lt;5,"",GEOMEAN(B6:F6))</f>
        <v>0.8027415617602307</v>
      </c>
      <c r="H6" s="9">
        <f>IFERROR(G6/SUM($G$6:$G$10),"")</f>
        <v>0.13521242927612245</v>
      </c>
      <c r="I6" s="8">
        <f>IFERROR(B6*$H$6+C6*$H$7+D6*$H$8+E6*$H$9+F6*$H$10,"")</f>
        <v>0.67757077363678919</v>
      </c>
      <c r="J6" s="8">
        <f>IFERROR(I6/H6,"")</f>
        <v>5.0111574598892537</v>
      </c>
    </row>
    <row r="7" spans="1:10" x14ac:dyDescent="0.3">
      <c r="A7" s="3" t="str">
        <f>Справочник!$B$18</f>
        <v>Простота реализации MVP</v>
      </c>
      <c r="B7" s="8">
        <f>IF(C6="","",1/C6)</f>
        <v>2</v>
      </c>
      <c r="C7" s="6">
        <v>1</v>
      </c>
      <c r="D7" s="7">
        <f>1/2</f>
        <v>0.5</v>
      </c>
      <c r="E7" s="7">
        <v>3</v>
      </c>
      <c r="F7" s="7">
        <v>2</v>
      </c>
      <c r="G7" s="8">
        <f>IF(COUNT(B7:F7)&lt;5,"",GEOMEAN(B7:F7))</f>
        <v>1.4309690811052556</v>
      </c>
      <c r="H7" s="9">
        <f>IFERROR(G7/SUM($G$6:$G$10),"")</f>
        <v>0.24103000877517028</v>
      </c>
      <c r="I7" s="8">
        <f>IFERROR(B7*$H$6+C7*$H$7+D7*$H$8+E7*$H$9+F7*$H$10,"")</f>
        <v>1.2118260919250987</v>
      </c>
      <c r="J7" s="8">
        <f>IFERROR(I7/H7,"")</f>
        <v>5.0276979952959913</v>
      </c>
    </row>
    <row r="8" spans="1:10" x14ac:dyDescent="0.3">
      <c r="A8" s="3" t="str">
        <f>Справочник!$B$19</f>
        <v>Пригодность для оценки и планирования</v>
      </c>
      <c r="B8" s="8">
        <f>IF(D6="","",1/D6)</f>
        <v>3</v>
      </c>
      <c r="C8" s="8">
        <f>IF(D7="","",1/D7)</f>
        <v>2</v>
      </c>
      <c r="D8" s="6">
        <v>1</v>
      </c>
      <c r="E8" s="7">
        <v>5</v>
      </c>
      <c r="F8" s="7">
        <v>3</v>
      </c>
      <c r="G8" s="8">
        <f>IF(COUNT(B8:F8)&lt;5,"",GEOMEAN(B8:F8))</f>
        <v>2.4595094858493631</v>
      </c>
      <c r="H8" s="9">
        <f>IFERROR(G8/SUM($G$6:$G$10),"")</f>
        <v>0.41427561278892627</v>
      </c>
      <c r="I8" s="8">
        <f>IFERROR(B8*$H$6+C8*$H$7+D8*$H$8+E8*$H$9+F8*$H$10,"")</f>
        <v>2.0789578054142943</v>
      </c>
      <c r="J8" s="8">
        <f>IFERROR(I8/H8,"")</f>
        <v>5.0182963738044721</v>
      </c>
    </row>
    <row r="9" spans="1:10" x14ac:dyDescent="0.3">
      <c r="A9" s="3" t="str">
        <f>Справочник!$B$20</f>
        <v>Потенциал монетизации</v>
      </c>
      <c r="B9" s="8">
        <f>IF(E6="","",1/E6)</f>
        <v>0.5</v>
      </c>
      <c r="C9" s="8">
        <f>IF(E7="","",1/E7)</f>
        <v>0.33333333333333331</v>
      </c>
      <c r="D9" s="8">
        <f>IF(E8="","",1/E8)</f>
        <v>0.2</v>
      </c>
      <c r="E9" s="6">
        <v>1</v>
      </c>
      <c r="F9" s="7">
        <f>1/2</f>
        <v>0.5</v>
      </c>
      <c r="G9" s="8">
        <f>IF(COUNT(B9:F9)&lt;5,"",GEOMEAN(B9:F9))</f>
        <v>0.44093010311086023</v>
      </c>
      <c r="H9" s="9">
        <f>IFERROR(G9/SUM($G$6:$G$10),"")</f>
        <v>7.4269519883658541E-2</v>
      </c>
      <c r="I9" s="8">
        <f>IFERROR(B9*$H$6+C9*$H$7+D9*$H$8+E9*$H$9+F9*$H$10,"")</f>
        <v>0.37268040797595631</v>
      </c>
      <c r="J9" s="8">
        <f>IFERROR(I9/H9,"")</f>
        <v>5.0179455658223109</v>
      </c>
    </row>
    <row r="10" spans="1:10" x14ac:dyDescent="0.3">
      <c r="A10" s="3" t="str">
        <f>Справочник!$B$21</f>
        <v>Интерес и экспертиза команды</v>
      </c>
      <c r="B10" s="8">
        <f>IF(F6="","",1/F6)</f>
        <v>1</v>
      </c>
      <c r="C10" s="8">
        <f>IF(F7="","",1/F7)</f>
        <v>0.5</v>
      </c>
      <c r="D10" s="8">
        <f>IF(F8="","",1/F8)</f>
        <v>0.33333333333333331</v>
      </c>
      <c r="E10" s="8">
        <f>IF(F9="","",1/F9)</f>
        <v>2</v>
      </c>
      <c r="F10" s="6">
        <v>1</v>
      </c>
      <c r="G10" s="8">
        <f>IF(COUNT(B10:F10)&lt;5,"",GEOMEAN(B10:F10))</f>
        <v>0.8027415617602307</v>
      </c>
      <c r="H10" s="9">
        <f>IFERROR(G10/SUM($G$6:$G$10),"")</f>
        <v>0.13521242927612245</v>
      </c>
      <c r="I10" s="8">
        <f>IFERROR(B10*$H$6+C10*$H$7+D10*$H$8+E10*$H$9+F10*$H$10,"")</f>
        <v>0.67757077363678919</v>
      </c>
      <c r="J10" s="8">
        <f>IFERROR(I10/H10,"")</f>
        <v>5.0111574598892537</v>
      </c>
    </row>
    <row r="11" spans="1:10" x14ac:dyDescent="0.3">
      <c r="A11" s="3" t="s">
        <v>43</v>
      </c>
      <c r="B11" s="8">
        <f>IF(COUNT(J6:J10)&lt;5,"",AVERAGE(J6:J10))</f>
        <v>5.017250970940256</v>
      </c>
      <c r="C11" s="3" t="s">
        <v>44</v>
      </c>
      <c r="D11" s="8">
        <f>IFERROR((B11-5)/(5-1),"")</f>
        <v>4.3127427350639902E-3</v>
      </c>
      <c r="E11" s="3" t="s">
        <v>45</v>
      </c>
      <c r="F11" s="10">
        <f>IFERROR(D11/1.12,"")</f>
        <v>3.8506631563071337E-3</v>
      </c>
      <c r="G11" t="str">
        <f>IF(F11="","заполните матрицу",IF(F11&lt;=0.1,"согласовано","CR &gt; 0,1: пересмотреть"))</f>
        <v>согласовано</v>
      </c>
    </row>
    <row r="17" spans="1:9" x14ac:dyDescent="0.3">
      <c r="A17" s="2" t="str">
        <f>"Альтернативы по критерию: "&amp;Справочник!$B$17</f>
        <v>Альтернативы по критерию: Востребованность</v>
      </c>
    </row>
    <row r="18" spans="1:9" ht="45" customHeight="1" x14ac:dyDescent="0.3">
      <c r="A18" s="4"/>
      <c r="B18" s="5" t="str">
        <f>Справочник!$B$10</f>
        <v>Бронь</v>
      </c>
      <c r="C18" s="5" t="str">
        <f>Справочник!$B$11</f>
        <v>Бюджет</v>
      </c>
      <c r="D18" s="5" t="str">
        <f>Справочник!$B$12</f>
        <v>Запись</v>
      </c>
      <c r="E18" s="5" t="str">
        <f>Справочник!$B$13</f>
        <v>Привычки</v>
      </c>
      <c r="F18" s="5" t="s">
        <v>39</v>
      </c>
      <c r="G18" s="5" t="s">
        <v>40</v>
      </c>
      <c r="H18" s="5" t="s">
        <v>41</v>
      </c>
      <c r="I18" s="5" t="s">
        <v>42</v>
      </c>
    </row>
    <row r="19" spans="1:9" x14ac:dyDescent="0.3">
      <c r="A19" s="3" t="str">
        <f>Справочник!$B$10</f>
        <v>Бронь</v>
      </c>
      <c r="B19" s="6">
        <v>1</v>
      </c>
      <c r="C19" s="7">
        <f>1/2</f>
        <v>0.5</v>
      </c>
      <c r="D19" s="7">
        <f>1/3</f>
        <v>0.33333333333333331</v>
      </c>
      <c r="E19" s="7">
        <v>1</v>
      </c>
      <c r="F19" s="8">
        <f>IF(COUNT(B19:E19)&lt;4,"",GEOMEAN(B19:E19))</f>
        <v>0.63894310424627243</v>
      </c>
      <c r="G19" s="9">
        <f>IFERROR(F19/SUM($F$19:$F$22),"")</f>
        <v>0.14114486382941524</v>
      </c>
      <c r="H19" s="8">
        <f>IFERROR(B19*$G$19+C19*$G$20+D19*$G$21+E19*$G$22,"")</f>
        <v>0.56530985047820637</v>
      </c>
      <c r="I19" s="8">
        <f>IFERROR(H19/G19,"")</f>
        <v>4.0051747909256417</v>
      </c>
    </row>
    <row r="20" spans="1:9" x14ac:dyDescent="0.3">
      <c r="A20" s="3" t="str">
        <f>Справочник!$B$11</f>
        <v>Бюджет</v>
      </c>
      <c r="B20" s="8">
        <f>IF(C19="","",1/C19)</f>
        <v>2</v>
      </c>
      <c r="C20" s="6">
        <v>1</v>
      </c>
      <c r="D20" s="7">
        <f>1/2</f>
        <v>0.5</v>
      </c>
      <c r="E20" s="7">
        <v>2</v>
      </c>
      <c r="F20" s="8">
        <f>IF(COUNT(B20:E20)&lt;4,"",GEOMEAN(B20:E20))</f>
        <v>1.189207115002721</v>
      </c>
      <c r="G20" s="9">
        <f>IFERROR(F20/SUM($F$19:$F$22),"")</f>
        <v>0.262700192233916</v>
      </c>
      <c r="H20" s="8">
        <f>IFERROR(B20*$G$19+C20*$G$20+D20*$G$21+E20*$G$22,"")</f>
        <v>1.0547846876052038</v>
      </c>
      <c r="I20" s="8">
        <f>IFERROR(H20/G20,"")</f>
        <v>4.0151652674315228</v>
      </c>
    </row>
    <row r="21" spans="1:9" x14ac:dyDescent="0.3">
      <c r="A21" s="3" t="str">
        <f>Справочник!$B$12</f>
        <v>Запись</v>
      </c>
      <c r="B21" s="8">
        <f>IF(D19="","",1/D19)</f>
        <v>3</v>
      </c>
      <c r="C21" s="8">
        <f>IF(D20="","",1/D20)</f>
        <v>2</v>
      </c>
      <c r="D21" s="6">
        <v>1</v>
      </c>
      <c r="E21" s="7">
        <v>3</v>
      </c>
      <c r="F21" s="8">
        <f>IF(COUNT(B21:E21)&lt;4,"",GEOMEAN(B21:E21))</f>
        <v>2.0597671439071177</v>
      </c>
      <c r="G21" s="9">
        <f>IFERROR(F21/SUM($F$19:$F$22),"")</f>
        <v>0.45501008010725352</v>
      </c>
      <c r="H21" s="8">
        <f>IFERROR(B21*$G$19+C21*$G$20+D21*$G$21+E21*$G$22,"")</f>
        <v>1.8272796475515771</v>
      </c>
      <c r="I21" s="8">
        <f>IFERROR(H21/G21,"")</f>
        <v>4.0159102565834512</v>
      </c>
    </row>
    <row r="22" spans="1:9" x14ac:dyDescent="0.3">
      <c r="A22" s="3" t="str">
        <f>Справочник!$B$13</f>
        <v>Привычки</v>
      </c>
      <c r="B22" s="8">
        <f>IF(E19="","",1/E19)</f>
        <v>1</v>
      </c>
      <c r="C22" s="8">
        <f>IF(E20="","",1/E20)</f>
        <v>0.5</v>
      </c>
      <c r="D22" s="8">
        <f>IF(E21="","",1/E21)</f>
        <v>0.33333333333333331</v>
      </c>
      <c r="E22" s="6">
        <v>1</v>
      </c>
      <c r="F22" s="8">
        <f>IF(COUNT(B22:E22)&lt;4,"",GEOMEAN(B22:E22))</f>
        <v>0.63894310424627243</v>
      </c>
      <c r="G22" s="9">
        <f>IFERROR(F22/SUM($F$19:$F$22),"")</f>
        <v>0.14114486382941524</v>
      </c>
      <c r="H22" s="8">
        <f>IFERROR(B22*$G$19+C22*$G$20+D22*$G$21+E22*$G$22,"")</f>
        <v>0.56530985047820637</v>
      </c>
      <c r="I22" s="8">
        <f>IFERROR(H22/G22,"")</f>
        <v>4.0051747909256417</v>
      </c>
    </row>
    <row r="23" spans="1:9" x14ac:dyDescent="0.3">
      <c r="A23" s="3" t="s">
        <v>43</v>
      </c>
      <c r="B23" s="8">
        <f>IF(COUNT(I19:I22)&lt;4,"",AVERAGE(I19:I22))</f>
        <v>4.0103562764665641</v>
      </c>
      <c r="C23" s="3" t="s">
        <v>44</v>
      </c>
      <c r="D23" s="8">
        <f>IFERROR((B23-4)/(4-1),"")</f>
        <v>3.4520921555213726E-3</v>
      </c>
      <c r="E23" s="3" t="s">
        <v>46</v>
      </c>
      <c r="F23" s="10">
        <f>IFERROR(D23/0.9,"")</f>
        <v>3.8356579505793029E-3</v>
      </c>
      <c r="G23" t="str">
        <f>IF(F23="","заполните матрицу",IF(F23&lt;=0.1,"согласовано","CR &gt; 0,1: пересмотреть"))</f>
        <v>согласовано</v>
      </c>
    </row>
    <row r="30" spans="1:9" x14ac:dyDescent="0.3">
      <c r="A30" s="2" t="str">
        <f>"Альтернативы по критерию: "&amp;Справочник!$B$18</f>
        <v>Альтернативы по критерию: Простота реализации MVP</v>
      </c>
    </row>
    <row r="31" spans="1:9" ht="45" customHeight="1" x14ac:dyDescent="0.3">
      <c r="A31" s="4"/>
      <c r="B31" s="5" t="str">
        <f>Справочник!$B$10</f>
        <v>Бронь</v>
      </c>
      <c r="C31" s="5" t="str">
        <f>Справочник!$B$11</f>
        <v>Бюджет</v>
      </c>
      <c r="D31" s="5" t="str">
        <f>Справочник!$B$12</f>
        <v>Запись</v>
      </c>
      <c r="E31" s="5" t="str">
        <f>Справочник!$B$13</f>
        <v>Привычки</v>
      </c>
      <c r="F31" s="5" t="s">
        <v>39</v>
      </c>
      <c r="G31" s="5" t="s">
        <v>40</v>
      </c>
      <c r="H31" s="5" t="s">
        <v>41</v>
      </c>
      <c r="I31" s="5" t="s">
        <v>42</v>
      </c>
    </row>
    <row r="32" spans="1:9" x14ac:dyDescent="0.3">
      <c r="A32" s="3" t="str">
        <f>Справочник!$B$10</f>
        <v>Бронь</v>
      </c>
      <c r="B32" s="6">
        <v>1</v>
      </c>
      <c r="C32" s="7">
        <v>2</v>
      </c>
      <c r="D32" s="7">
        <v>2</v>
      </c>
      <c r="E32" s="7">
        <f>1/2</f>
        <v>0.5</v>
      </c>
      <c r="F32" s="8">
        <f>IF(COUNT(B32:E32)&lt;4,"",GEOMEAN(B32:E32))</f>
        <v>1.189207115002721</v>
      </c>
      <c r="G32" s="9">
        <f>IFERROR(F32/SUM($F$32:$F$35),"")</f>
        <v>0.262700192233916</v>
      </c>
      <c r="H32" s="8">
        <f>IFERROR(B32*$G$32+C32*$G$33+D32*$G$34+E32*$G$35,"")</f>
        <v>1.0547846876052036</v>
      </c>
      <c r="I32" s="8">
        <f>IFERROR(H32/G32,"")</f>
        <v>4.0151652674315219</v>
      </c>
    </row>
    <row r="33" spans="1:9" x14ac:dyDescent="0.3">
      <c r="A33" s="3" t="str">
        <f>Справочник!$B$11</f>
        <v>Бюджет</v>
      </c>
      <c r="B33" s="8">
        <f>IF(C32="","",1/C32)</f>
        <v>0.5</v>
      </c>
      <c r="C33" s="6">
        <v>1</v>
      </c>
      <c r="D33" s="7">
        <v>1</v>
      </c>
      <c r="E33" s="7">
        <f>1/3</f>
        <v>0.33333333333333331</v>
      </c>
      <c r="F33" s="8">
        <f>IF(COUNT(B33:E33)&lt;4,"",GEOMEAN(B33:E33))</f>
        <v>0.63894310424627243</v>
      </c>
      <c r="G33" s="9">
        <f>IFERROR(F33/SUM($F$32:$F$35),"")</f>
        <v>0.14114486382941524</v>
      </c>
      <c r="H33" s="8">
        <f>IFERROR(B33*$G$32+C33*$G$33+D33*$G$34+E33*$G$35,"")</f>
        <v>0.56530985047820625</v>
      </c>
      <c r="I33" s="8">
        <f>IFERROR(H33/G33,"")</f>
        <v>4.0051747909256408</v>
      </c>
    </row>
    <row r="34" spans="1:9" x14ac:dyDescent="0.3">
      <c r="A34" s="3" t="str">
        <f>Справочник!$B$12</f>
        <v>Запись</v>
      </c>
      <c r="B34" s="8">
        <f>IF(D32="","",1/D32)</f>
        <v>0.5</v>
      </c>
      <c r="C34" s="8">
        <f>IF(D33="","",1/D33)</f>
        <v>1</v>
      </c>
      <c r="D34" s="6">
        <v>1</v>
      </c>
      <c r="E34" s="7">
        <f>1/3</f>
        <v>0.33333333333333331</v>
      </c>
      <c r="F34" s="8">
        <f>IF(COUNT(B34:E34)&lt;4,"",GEOMEAN(B34:E34))</f>
        <v>0.63894310424627243</v>
      </c>
      <c r="G34" s="9">
        <f>IFERROR(F34/SUM($F$32:$F$35),"")</f>
        <v>0.14114486382941524</v>
      </c>
      <c r="H34" s="8">
        <f>IFERROR(B34*$G$32+C34*$G$33+D34*$G$34+E34*$G$35,"")</f>
        <v>0.56530985047820625</v>
      </c>
      <c r="I34" s="8">
        <f>IFERROR(H34/G34,"")</f>
        <v>4.0051747909256408</v>
      </c>
    </row>
    <row r="35" spans="1:9" x14ac:dyDescent="0.3">
      <c r="A35" s="3" t="str">
        <f>Справочник!$B$13</f>
        <v>Привычки</v>
      </c>
      <c r="B35" s="8">
        <f>IF(E32="","",1/E32)</f>
        <v>2</v>
      </c>
      <c r="C35" s="8">
        <f>IF(E33="","",1/E33)</f>
        <v>3</v>
      </c>
      <c r="D35" s="8">
        <f>IF(E34="","",1/E34)</f>
        <v>3</v>
      </c>
      <c r="E35" s="6">
        <v>1</v>
      </c>
      <c r="F35" s="8">
        <f>IF(COUNT(B35:E35)&lt;4,"",GEOMEAN(B35:E35))</f>
        <v>2.0597671439071177</v>
      </c>
      <c r="G35" s="9">
        <f>IFERROR(F35/SUM($F$32:$F$35),"")</f>
        <v>0.45501008010725352</v>
      </c>
      <c r="H35" s="8">
        <f>IFERROR(B35*$G$32+C35*$G$33+D35*$G$34+E35*$G$35,"")</f>
        <v>1.8272796475515767</v>
      </c>
      <c r="I35" s="8">
        <f>IFERROR(H35/G35,"")</f>
        <v>4.0159102565834504</v>
      </c>
    </row>
    <row r="36" spans="1:9" x14ac:dyDescent="0.3">
      <c r="A36" s="3" t="s">
        <v>43</v>
      </c>
      <c r="B36" s="8">
        <f>IF(COUNT(I32:I35)&lt;4,"",AVERAGE(I32:I35))</f>
        <v>4.0103562764665632</v>
      </c>
      <c r="C36" s="3" t="s">
        <v>44</v>
      </c>
      <c r="D36" s="8">
        <f>IFERROR((B36-4)/(4-1),"")</f>
        <v>3.4520921555210768E-3</v>
      </c>
      <c r="E36" s="3" t="s">
        <v>46</v>
      </c>
      <c r="F36" s="10">
        <f>IFERROR(D36/0.9,"")</f>
        <v>3.8356579505789742E-3</v>
      </c>
      <c r="G36" t="str">
        <f>IF(F36="","заполните матрицу",IF(F36&lt;=0.1,"согласовано","CR &gt; 0,1: пересмотреть"))</f>
        <v>согласовано</v>
      </c>
    </row>
    <row r="43" spans="1:9" x14ac:dyDescent="0.3">
      <c r="A43" s="2" t="str">
        <f>"Альтернативы по критерию: "&amp;Справочник!$B$19</f>
        <v>Альтернативы по критерию: Пригодность для оценки и планирования</v>
      </c>
    </row>
    <row r="44" spans="1:9" ht="45" customHeight="1" x14ac:dyDescent="0.3">
      <c r="A44" s="4"/>
      <c r="B44" s="5" t="str">
        <f>Справочник!$B$10</f>
        <v>Бронь</v>
      </c>
      <c r="C44" s="5" t="str">
        <f>Справочник!$B$11</f>
        <v>Бюджет</v>
      </c>
      <c r="D44" s="5" t="str">
        <f>Справочник!$B$12</f>
        <v>Запись</v>
      </c>
      <c r="E44" s="5" t="str">
        <f>Справочник!$B$13</f>
        <v>Привычки</v>
      </c>
      <c r="F44" s="5" t="s">
        <v>39</v>
      </c>
      <c r="G44" s="5" t="s">
        <v>40</v>
      </c>
      <c r="H44" s="5" t="s">
        <v>41</v>
      </c>
      <c r="I44" s="5" t="s">
        <v>42</v>
      </c>
    </row>
    <row r="45" spans="1:9" x14ac:dyDescent="0.3">
      <c r="A45" s="3" t="str">
        <f>Справочник!$B$10</f>
        <v>Бронь</v>
      </c>
      <c r="B45" s="6">
        <v>1</v>
      </c>
      <c r="C45" s="7">
        <v>3</v>
      </c>
      <c r="D45" s="7">
        <f>1/2</f>
        <v>0.5</v>
      </c>
      <c r="E45" s="7">
        <v>3</v>
      </c>
      <c r="F45" s="8">
        <f>IF(COUNT(B45:E45)&lt;4,"",GEOMEAN(B45:E45))</f>
        <v>1.4564753151219703</v>
      </c>
      <c r="G45" s="9">
        <f>IFERROR(F45/SUM($F$45:$F$48),"")</f>
        <v>0.29666714267830602</v>
      </c>
      <c r="H45" s="8">
        <f>IFERROR(B45*$G$45+C45*$G$46+D45*$G$47+E45*$G$48,"")</f>
        <v>1.1955271762912143</v>
      </c>
      <c r="I45" s="8">
        <f>IFERROR(H45/G45,"")</f>
        <v>4.0298604203283679</v>
      </c>
    </row>
    <row r="46" spans="1:9" x14ac:dyDescent="0.3">
      <c r="A46" s="3" t="str">
        <f>Справочник!$B$11</f>
        <v>Бюджет</v>
      </c>
      <c r="B46" s="8">
        <f>IF(C45="","",1/C45)</f>
        <v>0.33333333333333331</v>
      </c>
      <c r="C46" s="6">
        <v>1</v>
      </c>
      <c r="D46" s="7">
        <f>1/4</f>
        <v>0.25</v>
      </c>
      <c r="E46" s="7">
        <v>1</v>
      </c>
      <c r="F46" s="8">
        <f>IF(COUNT(B46:E46)&lt;4,"",GEOMEAN(B46:E46))</f>
        <v>0.537284965911771</v>
      </c>
      <c r="G46" s="9">
        <f>IFERROR(F46/SUM($F$45:$F$48),"")</f>
        <v>0.1094387209904123</v>
      </c>
      <c r="H46" s="8">
        <f>IFERROR(B46*$G$45+C46*$G$46+D46*$G$47+E46*$G$48,"")</f>
        <v>0.43888034337547727</v>
      </c>
      <c r="I46" s="8">
        <f>IFERROR(H46/G46,"")</f>
        <v>4.0102839233101664</v>
      </c>
    </row>
    <row r="47" spans="1:9" x14ac:dyDescent="0.3">
      <c r="A47" s="3" t="str">
        <f>Справочник!$B$12</f>
        <v>Запись</v>
      </c>
      <c r="B47" s="8">
        <f>IF(D45="","",1/D45)</f>
        <v>2</v>
      </c>
      <c r="C47" s="8">
        <f>IF(D46="","",1/D46)</f>
        <v>4</v>
      </c>
      <c r="D47" s="6">
        <v>1</v>
      </c>
      <c r="E47" s="7">
        <v>4</v>
      </c>
      <c r="F47" s="8">
        <f>IF(COUNT(B47:E47)&lt;4,"",GEOMEAN(B47:E47))</f>
        <v>2.3784142300054421</v>
      </c>
      <c r="G47" s="9">
        <f>IFERROR(F47/SUM($F$45:$F$48),"")</f>
        <v>0.48445541534086939</v>
      </c>
      <c r="H47" s="8">
        <f>IFERROR(B47*$G$45+C47*$G$46+D47*$G$47+E47*$G$48,"")</f>
        <v>1.9532994686207799</v>
      </c>
      <c r="I47" s="8">
        <f>IFERROR(H47/G47,"")</f>
        <v>4.0319488786112796</v>
      </c>
    </row>
    <row r="48" spans="1:9" x14ac:dyDescent="0.3">
      <c r="A48" s="3" t="str">
        <f>Справочник!$B$13</f>
        <v>Привычки</v>
      </c>
      <c r="B48" s="8">
        <f>IF(E45="","",1/E45)</f>
        <v>0.33333333333333331</v>
      </c>
      <c r="C48" s="8">
        <f>IF(E46="","",1/E46)</f>
        <v>1</v>
      </c>
      <c r="D48" s="8">
        <f>IF(E47="","",1/E47)</f>
        <v>0.25</v>
      </c>
      <c r="E48" s="6">
        <v>1</v>
      </c>
      <c r="F48" s="8">
        <f>IF(COUNT(B48:E48)&lt;4,"",GEOMEAN(B48:E48))</f>
        <v>0.537284965911771</v>
      </c>
      <c r="G48" s="9">
        <f>IFERROR(F48/SUM($F$45:$F$48),"")</f>
        <v>0.1094387209904123</v>
      </c>
      <c r="H48" s="8">
        <f>IFERROR(B48*$G$45+C48*$G$46+D48*$G$47+E48*$G$48,"")</f>
        <v>0.43888034337547727</v>
      </c>
      <c r="I48" s="8">
        <f>IFERROR(H48/G48,"")</f>
        <v>4.0102839233101664</v>
      </c>
    </row>
    <row r="49" spans="1:9" x14ac:dyDescent="0.3">
      <c r="A49" s="3" t="s">
        <v>43</v>
      </c>
      <c r="B49" s="8">
        <f>IF(COUNT(I45:I48)&lt;4,"",AVERAGE(I45:I48))</f>
        <v>4.0205942863899953</v>
      </c>
      <c r="C49" s="3" t="s">
        <v>44</v>
      </c>
      <c r="D49" s="8">
        <f>IFERROR((B49-4)/(4-1),"")</f>
        <v>6.8647621299984252E-3</v>
      </c>
      <c r="E49" s="3" t="s">
        <v>46</v>
      </c>
      <c r="F49" s="10">
        <f>IFERROR(D49/0.9,"")</f>
        <v>7.6275134777760278E-3</v>
      </c>
      <c r="G49" t="str">
        <f>IF(F49="","заполните матрицу",IF(F49&lt;=0.1,"согласовано","CR &gt; 0,1: пересмотреть"))</f>
        <v>согласовано</v>
      </c>
    </row>
    <row r="56" spans="1:9" x14ac:dyDescent="0.3">
      <c r="A56" s="2" t="str">
        <f>"Альтернативы по критерию: "&amp;Справочник!$B$20</f>
        <v>Альтернативы по критерию: Потенциал монетизации</v>
      </c>
    </row>
    <row r="57" spans="1:9" ht="45" customHeight="1" x14ac:dyDescent="0.3">
      <c r="A57" s="4"/>
      <c r="B57" s="5" t="str">
        <f>Справочник!$B$10</f>
        <v>Бронь</v>
      </c>
      <c r="C57" s="5" t="str">
        <f>Справочник!$B$11</f>
        <v>Бюджет</v>
      </c>
      <c r="D57" s="5" t="str">
        <f>Справочник!$B$12</f>
        <v>Запись</v>
      </c>
      <c r="E57" s="5" t="str">
        <f>Справочник!$B$13</f>
        <v>Привычки</v>
      </c>
      <c r="F57" s="5" t="s">
        <v>39</v>
      </c>
      <c r="G57" s="5" t="s">
        <v>40</v>
      </c>
      <c r="H57" s="5" t="s">
        <v>41</v>
      </c>
      <c r="I57" s="5" t="s">
        <v>42</v>
      </c>
    </row>
    <row r="58" spans="1:9" x14ac:dyDescent="0.3">
      <c r="A58" s="3" t="str">
        <f>Справочник!$B$10</f>
        <v>Бронь</v>
      </c>
      <c r="B58" s="6">
        <v>1</v>
      </c>
      <c r="C58" s="7">
        <v>1</v>
      </c>
      <c r="D58" s="7">
        <f>1/4</f>
        <v>0.25</v>
      </c>
      <c r="E58" s="7">
        <v>2</v>
      </c>
      <c r="F58" s="8">
        <f>IF(COUNT(B58:E58)&lt;4,"",GEOMEAN(B58:E58))</f>
        <v>0.8408964152537145</v>
      </c>
      <c r="G58" s="9">
        <f>IFERROR(F58/SUM($F$58:$F$61),"")</f>
        <v>0.16342806325632064</v>
      </c>
      <c r="H58" s="8">
        <f>IFERROR(B58*$G$58+C58*$G$59+D58*$G$60+E58*$G$61,"")</f>
        <v>0.65597121379797119</v>
      </c>
      <c r="I58" s="8">
        <f>IFERROR(H58/G58,"")</f>
        <v>4.0138223554001593</v>
      </c>
    </row>
    <row r="59" spans="1:9" x14ac:dyDescent="0.3">
      <c r="A59" s="3" t="str">
        <f>Справочник!$B$11</f>
        <v>Бюджет</v>
      </c>
      <c r="B59" s="8">
        <f>IF(C58="","",1/C58)</f>
        <v>1</v>
      </c>
      <c r="C59" s="6">
        <v>1</v>
      </c>
      <c r="D59" s="7">
        <f>1/4</f>
        <v>0.25</v>
      </c>
      <c r="E59" s="7">
        <v>2</v>
      </c>
      <c r="F59" s="8">
        <f>IF(COUNT(B59:E59)&lt;4,"",GEOMEAN(B59:E59))</f>
        <v>0.8408964152537145</v>
      </c>
      <c r="G59" s="9">
        <f>IFERROR(F59/SUM($F$58:$F$61),"")</f>
        <v>0.16342806325632064</v>
      </c>
      <c r="H59" s="8">
        <f>IFERROR(B59*$G$58+C59*$G$59+D59*$G$60+E59*$G$61,"")</f>
        <v>0.65597121379797119</v>
      </c>
      <c r="I59" s="8">
        <f>IFERROR(H59/G59,"")</f>
        <v>4.0138223554001593</v>
      </c>
    </row>
    <row r="60" spans="1:9" x14ac:dyDescent="0.3">
      <c r="A60" s="3" t="str">
        <f>Справочник!$B$12</f>
        <v>Запись</v>
      </c>
      <c r="B60" s="8">
        <f>IF(D58="","",1/D58)</f>
        <v>4</v>
      </c>
      <c r="C60" s="8">
        <f>IF(D59="","",1/D59)</f>
        <v>4</v>
      </c>
      <c r="D60" s="6">
        <v>1</v>
      </c>
      <c r="E60" s="7">
        <v>5</v>
      </c>
      <c r="F60" s="8">
        <f>IF(COUNT(B60:E60)&lt;4,"",GEOMEAN(B60:E60))</f>
        <v>2.990697562442441</v>
      </c>
      <c r="G60" s="9">
        <f>IFERROR(F60/SUM($F$58:$F$61),"")</f>
        <v>0.58124151982250727</v>
      </c>
      <c r="H60" s="8">
        <f>IFERROR(B60*$G$58+C60*$G$59+D60*$G$60+E60*$G$61,"")</f>
        <v>2.3481777941973299</v>
      </c>
      <c r="I60" s="8">
        <f>IFERROR(H60/G60,"")</f>
        <v>4.0399347158034908</v>
      </c>
    </row>
    <row r="61" spans="1:9" x14ac:dyDescent="0.3">
      <c r="A61" s="3" t="str">
        <f>Справочник!$B$13</f>
        <v>Привычки</v>
      </c>
      <c r="B61" s="8">
        <f>IF(E58="","",1/E58)</f>
        <v>0.5</v>
      </c>
      <c r="C61" s="8">
        <f>IF(E59="","",1/E59)</f>
        <v>0.5</v>
      </c>
      <c r="D61" s="8">
        <f>IF(E60="","",1/E60)</f>
        <v>0.2</v>
      </c>
      <c r="E61" s="6">
        <v>1</v>
      </c>
      <c r="F61" s="8">
        <f>IF(COUNT(B61:E61)&lt;4,"",GEOMEAN(B61:E61))</f>
        <v>0.47287080450158792</v>
      </c>
      <c r="G61" s="9">
        <f>IFERROR(F61/SUM($F$58:$F$61),"")</f>
        <v>9.1902353664851555E-2</v>
      </c>
      <c r="H61" s="8">
        <f>IFERROR(B61*$G$58+C61*$G$59+D61*$G$60+E61*$G$61,"")</f>
        <v>0.37157872088567367</v>
      </c>
      <c r="I61" s="8">
        <f>IFERROR(H61/G61,"")</f>
        <v>4.0431904741062743</v>
      </c>
    </row>
    <row r="62" spans="1:9" x14ac:dyDescent="0.3">
      <c r="A62" s="3" t="s">
        <v>43</v>
      </c>
      <c r="B62" s="8">
        <f>IF(COUNT(I58:I61)&lt;4,"",AVERAGE(I58:I61))</f>
        <v>4.0276924751775214</v>
      </c>
      <c r="C62" s="3" t="s">
        <v>44</v>
      </c>
      <c r="D62" s="8">
        <f>IFERROR((B62-4)/(4-1),"")</f>
        <v>9.2308250591737941E-3</v>
      </c>
      <c r="E62" s="3" t="s">
        <v>46</v>
      </c>
      <c r="F62" s="10">
        <f>IFERROR(D62/0.9,"")</f>
        <v>1.0256472287970882E-2</v>
      </c>
      <c r="G62" t="str">
        <f>IF(F62="","заполните матрицу",IF(F62&lt;=0.1,"согласовано","CR &gt; 0,1: пересмотреть"))</f>
        <v>согласовано</v>
      </c>
    </row>
    <row r="69" spans="1:9" x14ac:dyDescent="0.3">
      <c r="A69" s="2" t="str">
        <f>"Альтернативы по критерию: "&amp;Справочник!$B$21</f>
        <v>Альтернативы по критерию: Интерес и экспертиза команды</v>
      </c>
    </row>
    <row r="70" spans="1:9" ht="45" customHeight="1" x14ac:dyDescent="0.3">
      <c r="A70" s="4"/>
      <c r="B70" s="5" t="str">
        <f>Справочник!$B$10</f>
        <v>Бронь</v>
      </c>
      <c r="C70" s="5" t="str">
        <f>Справочник!$B$11</f>
        <v>Бюджет</v>
      </c>
      <c r="D70" s="5" t="str">
        <f>Справочник!$B$12</f>
        <v>Запись</v>
      </c>
      <c r="E70" s="5" t="str">
        <f>Справочник!$B$13</f>
        <v>Привычки</v>
      </c>
      <c r="F70" s="5" t="s">
        <v>39</v>
      </c>
      <c r="G70" s="5" t="s">
        <v>40</v>
      </c>
      <c r="H70" s="5" t="s">
        <v>41</v>
      </c>
      <c r="I70" s="5" t="s">
        <v>42</v>
      </c>
    </row>
    <row r="71" spans="1:9" x14ac:dyDescent="0.3">
      <c r="A71" s="3" t="str">
        <f>Справочник!$B$10</f>
        <v>Бронь</v>
      </c>
      <c r="B71" s="6">
        <v>1</v>
      </c>
      <c r="C71" s="7">
        <f>1/2</f>
        <v>0.5</v>
      </c>
      <c r="D71" s="7">
        <v>1</v>
      </c>
      <c r="E71" s="7">
        <v>2</v>
      </c>
      <c r="F71" s="8">
        <f>IF(COUNT(B71:E71)&lt;4,"",GEOMEAN(B71:E71))</f>
        <v>1</v>
      </c>
      <c r="G71" s="9">
        <f>IFERROR(F71/SUM($F$71:$F$74),"")</f>
        <v>0.22735050780241758</v>
      </c>
      <c r="H71" s="8">
        <f>IFERROR(B71*$G$71+C71*$G$72+D71*$G$73+E71*$G$74,"")</f>
        <v>0.91057852255438632</v>
      </c>
      <c r="I71" s="8">
        <f>IFERROR(H71/G71,"")</f>
        <v>4.0051747909256417</v>
      </c>
    </row>
    <row r="72" spans="1:9" x14ac:dyDescent="0.3">
      <c r="A72" s="3" t="str">
        <f>Справочник!$B$11</f>
        <v>Бюджет</v>
      </c>
      <c r="B72" s="8">
        <f>IF(C71="","",1/C71)</f>
        <v>2</v>
      </c>
      <c r="C72" s="6">
        <v>1</v>
      </c>
      <c r="D72" s="7">
        <v>2</v>
      </c>
      <c r="E72" s="7">
        <v>3</v>
      </c>
      <c r="F72" s="8">
        <f>IF(COUNT(B72:E72)&lt;4,"",GEOMEAN(B72:E72))</f>
        <v>1.8612097182041991</v>
      </c>
      <c r="G72" s="9">
        <f>IFERROR(F72/SUM($F$71:$F$74),"")</f>
        <v>0.4231469745605192</v>
      </c>
      <c r="H72" s="8">
        <f>IFERROR(B72*$G$71+C72*$G$72+D72*$G$73+E72*$G$74,"")</f>
        <v>1.6990050352741268</v>
      </c>
      <c r="I72" s="8">
        <f>IFERROR(H72/G72,"")</f>
        <v>4.0151652674315228</v>
      </c>
    </row>
    <row r="73" spans="1:9" x14ac:dyDescent="0.3">
      <c r="A73" s="3" t="str">
        <f>Справочник!$B$12</f>
        <v>Запись</v>
      </c>
      <c r="B73" s="8">
        <f>IF(D71="","",1/D71)</f>
        <v>1</v>
      </c>
      <c r="C73" s="8">
        <f>IF(D72="","",1/D72)</f>
        <v>0.5</v>
      </c>
      <c r="D73" s="6">
        <v>1</v>
      </c>
      <c r="E73" s="7">
        <v>2</v>
      </c>
      <c r="F73" s="8">
        <f>IF(COUNT(B73:E73)&lt;4,"",GEOMEAN(B73:E73))</f>
        <v>1</v>
      </c>
      <c r="G73" s="9">
        <f>IFERROR(F73/SUM($F$71:$F$74),"")</f>
        <v>0.22735050780241758</v>
      </c>
      <c r="H73" s="8">
        <f>IFERROR(B73*$G$71+C73*$G$72+D73*$G$73+E73*$G$74,"")</f>
        <v>0.91057852255438632</v>
      </c>
      <c r="I73" s="8">
        <f>IFERROR(H73/G73,"")</f>
        <v>4.0051747909256417</v>
      </c>
    </row>
    <row r="74" spans="1:9" x14ac:dyDescent="0.3">
      <c r="A74" s="3" t="str">
        <f>Справочник!$B$13</f>
        <v>Привычки</v>
      </c>
      <c r="B74" s="8">
        <f>IF(E71="","",1/E71)</f>
        <v>0.5</v>
      </c>
      <c r="C74" s="8">
        <f>IF(E72="","",1/E72)</f>
        <v>0.33333333333333331</v>
      </c>
      <c r="D74" s="8">
        <f>IF(E73="","",1/E73)</f>
        <v>0.5</v>
      </c>
      <c r="E74" s="6">
        <v>1</v>
      </c>
      <c r="F74" s="8">
        <f>IF(COUNT(B74:E74)&lt;4,"",GEOMEAN(B74:E74))</f>
        <v>0.537284965911771</v>
      </c>
      <c r="G74" s="9">
        <f>IFERROR(F74/SUM($F$71:$F$74),"")</f>
        <v>0.12215200983464576</v>
      </c>
      <c r="H74" s="8">
        <f>IFERROR(B74*$G$71+C74*$G$72+D74*$G$73+E74*$G$74,"")</f>
        <v>0.49055150915723639</v>
      </c>
      <c r="I74" s="8">
        <f>IFERROR(H74/G74,"")</f>
        <v>4.0159102565834504</v>
      </c>
    </row>
    <row r="75" spans="1:9" x14ac:dyDescent="0.3">
      <c r="A75" s="3" t="s">
        <v>43</v>
      </c>
      <c r="B75" s="8">
        <f>IF(COUNT(I71:I74)&lt;4,"",AVERAGE(I71:I74))</f>
        <v>4.0103562764665641</v>
      </c>
      <c r="C75" s="3" t="s">
        <v>44</v>
      </c>
      <c r="D75" s="8">
        <f>IFERROR((B75-4)/(4-1),"")</f>
        <v>3.4520921555213726E-3</v>
      </c>
      <c r="E75" s="3" t="s">
        <v>46</v>
      </c>
      <c r="F75" s="10">
        <f>IFERROR(D75/0.9,"")</f>
        <v>3.8356579505793029E-3</v>
      </c>
      <c r="G75" t="str">
        <f>IF(F75="","заполните матрицу",IF(F75&lt;=0.1,"согласовано","CR &gt; 0,1: пересмотреть"))</f>
        <v>согласовано</v>
      </c>
    </row>
  </sheetData>
  <dataValidations count="1">
    <dataValidation type="decimal" showErrorMessage="1" error="Число от 1/9 до 9 (обратные вводить формулой, например =1/3)" sqref="C6 C19 C32 C45 C58 C71 D6 D7 D19 D20 D32 D33 D45 D46 D58 D59 D71 D72 E6 E7 E8 E19 E20 E21 E32 E33 E34 E45 E46 E47 E58 E59 E60 E71 E72 E73 F6 F7 F8 F9" xr:uid="{00000000-0002-0000-0100-000000000000}">
      <formula1>0.111</formula1>
      <formula2>9</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5"/>
  <sheetViews>
    <sheetView zoomScale="84" workbookViewId="0">
      <selection activeCell="F73" sqref="F73"/>
    </sheetView>
  </sheetViews>
  <sheetFormatPr defaultRowHeight="14.4" x14ac:dyDescent="0.3"/>
  <cols>
    <col min="1" max="1" width="32" customWidth="1"/>
    <col min="2" max="11" width="13" customWidth="1"/>
  </cols>
  <sheetData>
    <row r="1" spans="1:10" ht="17.399999999999999" x14ac:dyDescent="0.35">
      <c r="A1" s="1" t="str">
        <f>"Попарные сравнения, эксперт 2: "&amp;Справочник!$B$5</f>
        <v>Попарные сравнения, эксперт 2: Попова Полина</v>
      </c>
    </row>
    <row r="2" spans="1:10" x14ac:dyDescent="0.3">
      <c r="A2" t="s">
        <v>37</v>
      </c>
    </row>
    <row r="4" spans="1:10" x14ac:dyDescent="0.3">
      <c r="A4" s="2" t="s">
        <v>38</v>
      </c>
    </row>
    <row r="5" spans="1:10" ht="45" customHeight="1" x14ac:dyDescent="0.3">
      <c r="A5" s="4"/>
      <c r="B5" s="5" t="str">
        <f>Справочник!$B$17</f>
        <v>Востребованность</v>
      </c>
      <c r="C5" s="5" t="str">
        <f>Справочник!$B$18</f>
        <v>Простота реализации MVP</v>
      </c>
      <c r="D5" s="5" t="str">
        <f>Справочник!$B$19</f>
        <v>Пригодность для оценки и планирования</v>
      </c>
      <c r="E5" s="5" t="str">
        <f>Справочник!$B$20</f>
        <v>Потенциал монетизации</v>
      </c>
      <c r="F5" s="5" t="str">
        <f>Справочник!$B$21</f>
        <v>Интерес и экспертиза команды</v>
      </c>
      <c r="G5" s="5" t="s">
        <v>39</v>
      </c>
      <c r="H5" s="5" t="s">
        <v>40</v>
      </c>
      <c r="I5" s="5" t="s">
        <v>41</v>
      </c>
      <c r="J5" s="5" t="s">
        <v>42</v>
      </c>
    </row>
    <row r="6" spans="1:10" x14ac:dyDescent="0.3">
      <c r="A6" s="3" t="str">
        <f>Справочник!$B$17</f>
        <v>Востребованность</v>
      </c>
      <c r="B6" s="6">
        <v>1</v>
      </c>
      <c r="C6" s="7">
        <v>0.5</v>
      </c>
      <c r="D6" s="7">
        <v>0.45</v>
      </c>
      <c r="E6" s="7">
        <v>2</v>
      </c>
      <c r="F6" s="7">
        <v>1</v>
      </c>
      <c r="G6" s="8">
        <f>IF(COUNT(B6:F6)&lt;5,"",GEOMEAN(B6:F6))</f>
        <v>0.85239815840382582</v>
      </c>
      <c r="H6" s="9">
        <f>IFERROR(G6/SUM($G$6:$G$10),"")</f>
        <v>0.15269563962094723</v>
      </c>
      <c r="I6" s="8">
        <f>IFERROR(B6*$H$6+C6*$H$7+D6*$H$8+E6*$H$9+F6*$H$10,"")</f>
        <v>0.77942811944109125</v>
      </c>
      <c r="J6" s="8">
        <f>IFERROR(I6/H6,"")</f>
        <v>5.1044556437626465</v>
      </c>
    </row>
    <row r="7" spans="1:10" x14ac:dyDescent="0.3">
      <c r="A7" s="3" t="str">
        <f>Справочник!$B$18</f>
        <v>Простота реализации MVP</v>
      </c>
      <c r="B7" s="8">
        <f>IF(C6="","",1/C6)</f>
        <v>2</v>
      </c>
      <c r="C7" s="6">
        <v>1</v>
      </c>
      <c r="D7" s="7">
        <v>0.4</v>
      </c>
      <c r="E7" s="7">
        <v>2</v>
      </c>
      <c r="F7" s="7">
        <v>2</v>
      </c>
      <c r="G7" s="8">
        <f>IF(COUNT(B7:F7)&lt;5,"",GEOMEAN(B7:F7))</f>
        <v>1.2619146889603865</v>
      </c>
      <c r="H7" s="9">
        <f>IFERROR(G7/SUM($G$6:$G$10),"")</f>
        <v>0.2260550057249045</v>
      </c>
      <c r="I7" s="8">
        <f>IFERROR(B7*$H$6+C7*$H$7+D7*$H$8+E7*$H$9+F7*$H$10,"")</f>
        <v>1.161781240003501</v>
      </c>
      <c r="J7" s="8">
        <f>IFERROR(I7/H7,"")</f>
        <v>5.1393740929467393</v>
      </c>
    </row>
    <row r="8" spans="1:10" x14ac:dyDescent="0.3">
      <c r="A8" s="3" t="str">
        <f>Справочник!$B$19</f>
        <v>Пригодность для оценки и планирования</v>
      </c>
      <c r="B8" s="8">
        <f>IF(D6="","",1/D6)</f>
        <v>2.2222222222222223</v>
      </c>
      <c r="C8" s="8">
        <f>IF(D7="","",1/D7)</f>
        <v>2.5</v>
      </c>
      <c r="D8" s="6">
        <v>1</v>
      </c>
      <c r="E8" s="7">
        <v>4</v>
      </c>
      <c r="F8" s="7">
        <v>2</v>
      </c>
      <c r="G8" s="8">
        <f>IF(COUNT(B8:F8)&lt;5,"",GEOMEAN(B8:F8))</f>
        <v>2.1358143316912042</v>
      </c>
      <c r="H8" s="9">
        <f>IFERROR(G8/SUM($G$6:$G$10),"")</f>
        <v>0.38260234641974633</v>
      </c>
      <c r="I8" s="8">
        <f>IFERROR(B8*$H$6+C8*$H$7+D8*$H$8+E8*$H$9+F8*$H$10,"")</f>
        <v>1.9701313464717245</v>
      </c>
      <c r="J8" s="8">
        <f>IFERROR(I8/H8,"")</f>
        <v>5.1492923786471714</v>
      </c>
    </row>
    <row r="9" spans="1:10" x14ac:dyDescent="0.3">
      <c r="A9" s="3" t="str">
        <f>Справочник!$B$20</f>
        <v>Потенциал монетизации</v>
      </c>
      <c r="B9" s="8">
        <f>IF(E6="","",1/E6)</f>
        <v>0.5</v>
      </c>
      <c r="C9" s="8">
        <f>IF(E7="","",1/E7)</f>
        <v>0.5</v>
      </c>
      <c r="D9" s="8">
        <f>IF(E8="","",1/E8)</f>
        <v>0.25</v>
      </c>
      <c r="E9" s="6">
        <v>1</v>
      </c>
      <c r="F9" s="7">
        <v>1</v>
      </c>
      <c r="G9" s="8">
        <f>IF(COUNT(B9:F9)&lt;5,"",GEOMEAN(B9:F9))</f>
        <v>0.57434917749851755</v>
      </c>
      <c r="H9" s="9">
        <f>IFERROR(G9/SUM($G$6:$G$10),"")</f>
        <v>0.1028869128344042</v>
      </c>
      <c r="I9" s="8">
        <f>IFERROR(B9*$H$6+C9*$H$7+D9*$H$8+E9*$H$9+F9*$H$10,"")</f>
        <v>0.52367291751226419</v>
      </c>
      <c r="J9" s="8">
        <f>IFERROR(I9/H9,"")</f>
        <v>5.0897913358048976</v>
      </c>
    </row>
    <row r="10" spans="1:10" x14ac:dyDescent="0.3">
      <c r="A10" s="3" t="str">
        <f>Справочник!$B$21</f>
        <v>Интерес и экспертиза команды</v>
      </c>
      <c r="B10" s="8">
        <f>IF(F6="","",1/F6)</f>
        <v>1</v>
      </c>
      <c r="C10" s="8">
        <f>IF(F7="","",1/F7)</f>
        <v>0.5</v>
      </c>
      <c r="D10" s="8">
        <f>IF(F8="","",1/F8)</f>
        <v>0.5</v>
      </c>
      <c r="E10" s="8">
        <f>IF(F9="","",1/F9)</f>
        <v>1</v>
      </c>
      <c r="F10" s="6">
        <v>1</v>
      </c>
      <c r="G10" s="8">
        <f>IF(COUNT(B10:F10)&lt;5,"",GEOMEAN(B10:F10))</f>
        <v>0.75785828325519911</v>
      </c>
      <c r="H10" s="9">
        <f>IFERROR(G10/SUM($G$6:$G$10),"")</f>
        <v>0.13576009539999756</v>
      </c>
      <c r="I10" s="8">
        <f>IFERROR(B10*$H$6+C10*$H$7+D10*$H$8+E10*$H$9+F10*$H$10,"")</f>
        <v>0.69567132392767439</v>
      </c>
      <c r="J10" s="8">
        <f>IFERROR(I10/H10,"")</f>
        <v>5.1242695571035002</v>
      </c>
    </row>
    <row r="11" spans="1:10" x14ac:dyDescent="0.3">
      <c r="A11" s="3" t="s">
        <v>43</v>
      </c>
      <c r="B11" s="8">
        <f>IF(COUNT(J6:J10)&lt;5,"",AVERAGE(J6:J10))</f>
        <v>5.1214366016529906</v>
      </c>
      <c r="C11" s="3" t="s">
        <v>44</v>
      </c>
      <c r="D11" s="8">
        <f>IFERROR((B11-5)/(5-1),"")</f>
        <v>3.035915041324766E-2</v>
      </c>
      <c r="E11" s="3" t="s">
        <v>45</v>
      </c>
      <c r="F11" s="10">
        <f>IFERROR(D11/1.12,"")</f>
        <v>2.710638429754255E-2</v>
      </c>
      <c r="G11" t="str">
        <f>IF(F11="","заполните матрицу",IF(F11&lt;=0.1,"согласовано","CR &gt; 0,1: пересмотреть"))</f>
        <v>согласовано</v>
      </c>
    </row>
    <row r="17" spans="1:9" x14ac:dyDescent="0.3">
      <c r="A17" s="2" t="str">
        <f>"Альтернативы по критерию: "&amp;Справочник!$B$17</f>
        <v>Альтернативы по критерию: Востребованность</v>
      </c>
    </row>
    <row r="18" spans="1:9" ht="45" customHeight="1" x14ac:dyDescent="0.3">
      <c r="A18" s="4"/>
      <c r="B18" s="5" t="str">
        <f>Справочник!$B$10</f>
        <v>Бронь</v>
      </c>
      <c r="C18" s="5" t="str">
        <f>Справочник!$B$11</f>
        <v>Бюджет</v>
      </c>
      <c r="D18" s="5" t="str">
        <f>Справочник!$B$12</f>
        <v>Запись</v>
      </c>
      <c r="E18" s="5" t="str">
        <f>Справочник!$B$13</f>
        <v>Привычки</v>
      </c>
      <c r="F18" s="5" t="s">
        <v>39</v>
      </c>
      <c r="G18" s="5" t="s">
        <v>40</v>
      </c>
      <c r="H18" s="5" t="s">
        <v>41</v>
      </c>
      <c r="I18" s="5" t="s">
        <v>42</v>
      </c>
    </row>
    <row r="19" spans="1:9" x14ac:dyDescent="0.3">
      <c r="A19" s="3" t="str">
        <f>Справочник!$B$10</f>
        <v>Бронь</v>
      </c>
      <c r="B19" s="6">
        <v>1</v>
      </c>
      <c r="C19" s="7">
        <v>1</v>
      </c>
      <c r="D19" s="7">
        <v>0.3</v>
      </c>
      <c r="E19" s="7">
        <v>1</v>
      </c>
      <c r="F19" s="8">
        <f>IF(COUNT(B19:E19)&lt;4,"",GEOMEAN(B19:E19))</f>
        <v>0.74008280449228525</v>
      </c>
      <c r="G19" s="9">
        <f>IFERROR(F19/SUM($F$19:$F$22),"")</f>
        <v>0.17081089102651467</v>
      </c>
      <c r="H19" s="8">
        <f>IFERROR(B19*$G$19+C19*$G$20+D19*$G$21+E19*$G$22,"")</f>
        <v>0.69127772306161395</v>
      </c>
      <c r="I19" s="8">
        <f>IFERROR(H19/G19,"")</f>
        <v>4.0470354021764816</v>
      </c>
    </row>
    <row r="20" spans="1:9" x14ac:dyDescent="0.3">
      <c r="A20" s="3" t="str">
        <f>Справочник!$B$11</f>
        <v>Бюджет</v>
      </c>
      <c r="B20" s="8">
        <f>IF(C19="","",1/C19)</f>
        <v>1</v>
      </c>
      <c r="C20" s="6">
        <v>1</v>
      </c>
      <c r="D20" s="7">
        <v>0.5</v>
      </c>
      <c r="E20" s="7">
        <v>1</v>
      </c>
      <c r="F20" s="8">
        <f>IF(COUNT(B20:E20)&lt;4,"",GEOMEAN(B20:E20))</f>
        <v>0.8408964152537145</v>
      </c>
      <c r="G20" s="9">
        <f>IFERROR(F20/SUM($F$19:$F$22),"")</f>
        <v>0.19407864238789554</v>
      </c>
      <c r="H20" s="8">
        <f>IFERROR(B20*$G$19+C20*$G$20+D20*$G$21+E20*$G$22,"")</f>
        <v>0.77948408790115276</v>
      </c>
      <c r="I20" s="8">
        <f>IFERROR(H20/G20,"")</f>
        <v>4.0163311032608924</v>
      </c>
    </row>
    <row r="21" spans="1:9" x14ac:dyDescent="0.3">
      <c r="A21" s="3" t="str">
        <f>Справочник!$B$12</f>
        <v>Запись</v>
      </c>
      <c r="B21" s="8">
        <f>IF(D19="","",1/D19)</f>
        <v>3.3333333333333335</v>
      </c>
      <c r="C21" s="8">
        <f>IF(D20="","",1/D20)</f>
        <v>2</v>
      </c>
      <c r="D21" s="6">
        <v>1</v>
      </c>
      <c r="E21" s="7">
        <v>2</v>
      </c>
      <c r="F21" s="8">
        <f>IF(COUNT(B21:E21)&lt;4,"",GEOMEAN(B21:E21))</f>
        <v>1.9108855844087336</v>
      </c>
      <c r="G21" s="9">
        <f>IFERROR(F21/SUM($F$19:$F$22),"")</f>
        <v>0.4410318241976941</v>
      </c>
      <c r="H21" s="8">
        <f>IFERROR(B21*$G$19+C21*$G$20+D21*$G$21+E21*$G$22,"")</f>
        <v>1.786716030504325</v>
      </c>
      <c r="I21" s="8">
        <f>IFERROR(H21/G21,"")</f>
        <v>4.0512179223225919</v>
      </c>
    </row>
    <row r="22" spans="1:9" x14ac:dyDescent="0.3">
      <c r="A22" s="3" t="str">
        <f>Справочник!$B$13</f>
        <v>Привычки</v>
      </c>
      <c r="B22" s="8">
        <f>IF(E19="","",1/E19)</f>
        <v>1</v>
      </c>
      <c r="C22" s="8">
        <f>IF(E20="","",1/E20)</f>
        <v>1</v>
      </c>
      <c r="D22" s="8">
        <f>IF(E21="","",1/E21)</f>
        <v>0.5</v>
      </c>
      <c r="E22" s="6">
        <v>1</v>
      </c>
      <c r="F22" s="8">
        <f>IF(COUNT(B22:E22)&lt;4,"",GEOMEAN(B22:E22))</f>
        <v>0.8408964152537145</v>
      </c>
      <c r="G22" s="9">
        <f>IFERROR(F22/SUM($F$19:$F$22),"")</f>
        <v>0.19407864238789554</v>
      </c>
      <c r="H22" s="8">
        <f>IFERROR(B22*$G$19+C22*$G$20+D22*$G$21+E22*$G$22,"")</f>
        <v>0.77948408790115276</v>
      </c>
      <c r="I22" s="8">
        <f>IFERROR(H22/G22,"")</f>
        <v>4.0163311032608924</v>
      </c>
    </row>
    <row r="23" spans="1:9" x14ac:dyDescent="0.3">
      <c r="A23" s="3" t="s">
        <v>43</v>
      </c>
      <c r="B23" s="8">
        <f>IF(COUNT(I19:I22)&lt;4,"",AVERAGE(I19:I22))</f>
        <v>4.0327288827552144</v>
      </c>
      <c r="C23" s="3" t="s">
        <v>44</v>
      </c>
      <c r="D23" s="8">
        <f>IFERROR((B23-4)/(4-1),"")</f>
        <v>1.0909627585071449E-2</v>
      </c>
      <c r="E23" s="3" t="s">
        <v>46</v>
      </c>
      <c r="F23" s="10">
        <f>IFERROR(D23/0.9,"")</f>
        <v>1.2121808427857166E-2</v>
      </c>
      <c r="G23" t="str">
        <f>IF(F23="","заполните матрицу",IF(F23&lt;=0.1,"согласовано","CR &gt; 0,1: пересмотреть"))</f>
        <v>согласовано</v>
      </c>
    </row>
    <row r="30" spans="1:9" x14ac:dyDescent="0.3">
      <c r="A30" s="2" t="str">
        <f>"Альтернативы по критерию: "&amp;Справочник!$B$18</f>
        <v>Альтернативы по критерию: Простота реализации MVP</v>
      </c>
    </row>
    <row r="31" spans="1:9" ht="45" customHeight="1" x14ac:dyDescent="0.3">
      <c r="A31" s="4"/>
      <c r="B31" s="5" t="str">
        <f>Справочник!$B$10</f>
        <v>Бронь</v>
      </c>
      <c r="C31" s="5" t="str">
        <f>Справочник!$B$11</f>
        <v>Бюджет</v>
      </c>
      <c r="D31" s="5" t="str">
        <f>Справочник!$B$12</f>
        <v>Запись</v>
      </c>
      <c r="E31" s="5" t="str">
        <f>Справочник!$B$13</f>
        <v>Привычки</v>
      </c>
      <c r="F31" s="5" t="s">
        <v>39</v>
      </c>
      <c r="G31" s="5" t="s">
        <v>40</v>
      </c>
      <c r="H31" s="5" t="s">
        <v>41</v>
      </c>
      <c r="I31" s="5" t="s">
        <v>42</v>
      </c>
    </row>
    <row r="32" spans="1:9" x14ac:dyDescent="0.3">
      <c r="A32" s="3" t="str">
        <f>Справочник!$B$10</f>
        <v>Бронь</v>
      </c>
      <c r="B32" s="6">
        <v>1</v>
      </c>
      <c r="C32" s="7">
        <v>3</v>
      </c>
      <c r="D32" s="7">
        <v>2</v>
      </c>
      <c r="E32" s="7">
        <v>1</v>
      </c>
      <c r="F32" s="8">
        <f>IF(COUNT(B32:E32)&lt;4,"",GEOMEAN(B32:E32))</f>
        <v>1.5650845800732873</v>
      </c>
      <c r="G32" s="9">
        <f>IFERROR(F32/SUM($F$32:$F$35),"")</f>
        <v>0.344461925084318</v>
      </c>
      <c r="H32" s="8">
        <f>IFERROR(B32*$G$32+C32*$G$33+D32*$G$34+E32*$G$35,"")</f>
        <v>1.5368506912438078</v>
      </c>
      <c r="I32" s="8">
        <f>IFERROR(H32/G32,"")</f>
        <v>4.4615981602832147</v>
      </c>
    </row>
    <row r="33" spans="1:9" x14ac:dyDescent="0.3">
      <c r="A33" s="3" t="str">
        <f>Справочник!$B$11</f>
        <v>Бюджет</v>
      </c>
      <c r="B33" s="8">
        <f>IF(C32="","",1/C32)</f>
        <v>0.33333333333333331</v>
      </c>
      <c r="C33" s="6">
        <v>1</v>
      </c>
      <c r="D33" s="7">
        <v>0.3</v>
      </c>
      <c r="E33" s="7">
        <v>0.3</v>
      </c>
      <c r="F33" s="8">
        <f>IF(COUNT(B33:E33)&lt;4,"",GEOMEAN(B33:E33))</f>
        <v>0.41617914502878173</v>
      </c>
      <c r="G33" s="9">
        <f>IFERROR(F33/SUM($F$32:$F$35),"")</f>
        <v>9.1597522141485033E-2</v>
      </c>
      <c r="H33" s="8">
        <f>IFERROR(B33*$G$32+C33*$G$33+D33*$G$34+E33*$G$35,"")</f>
        <v>0.37560032966851681</v>
      </c>
      <c r="I33" s="8">
        <f>IFERROR(H33/G33,"")</f>
        <v>4.1005512036488296</v>
      </c>
    </row>
    <row r="34" spans="1:9" x14ac:dyDescent="0.3">
      <c r="A34" s="3" t="str">
        <f>Справочник!$B$12</f>
        <v>Запись</v>
      </c>
      <c r="B34" s="8">
        <f>IF(D32="","",1/D32)</f>
        <v>0.5</v>
      </c>
      <c r="C34" s="8">
        <f>IF(D33="","",1/D33)</f>
        <v>3.3333333333333335</v>
      </c>
      <c r="D34" s="6">
        <v>1</v>
      </c>
      <c r="E34" s="7">
        <v>4</v>
      </c>
      <c r="F34" s="8">
        <f>IF(COUNT(B34:E34)&lt;4,"",GEOMEAN(B34:E34))</f>
        <v>1.6068568378893036</v>
      </c>
      <c r="G34" s="9">
        <f>IFERROR(F34/SUM($F$32:$F$35),"")</f>
        <v>0.35365564696083768</v>
      </c>
      <c r="H34" s="8">
        <f>IFERROR(B34*$G$32+C34*$G$33+D34*$G$34+E34*$G$35,"")</f>
        <v>1.672351306561384</v>
      </c>
      <c r="I34" s="8">
        <f>IFERROR(H34/G34,"")</f>
        <v>4.728756124588541</v>
      </c>
    </row>
    <row r="35" spans="1:9" x14ac:dyDescent="0.3">
      <c r="A35" s="3" t="str">
        <f>Справочник!$B$13</f>
        <v>Привычки</v>
      </c>
      <c r="B35" s="8">
        <f>IF(E32="","",1/E32)</f>
        <v>1</v>
      </c>
      <c r="C35" s="8">
        <f>IF(E33="","",1/E33)</f>
        <v>3.3333333333333335</v>
      </c>
      <c r="D35" s="8">
        <f>IF(E34="","",1/E34)</f>
        <v>0.25</v>
      </c>
      <c r="E35" s="6">
        <v>1</v>
      </c>
      <c r="F35" s="8">
        <f>IF(COUNT(B35:E35)&lt;4,"",GEOMEAN(B35:E35))</f>
        <v>0.95544279220436679</v>
      </c>
      <c r="G35" s="9">
        <f>IFERROR(F35/SUM($F$32:$F$35),"")</f>
        <v>0.21028490581335929</v>
      </c>
      <c r="H35" s="8">
        <f>IFERROR(B35*$G$32+C35*$G$33+D35*$G$34+E35*$G$35,"")</f>
        <v>0.94848581644283692</v>
      </c>
      <c r="I35" s="8">
        <f>IFERROR(H35/G35,"")</f>
        <v>4.5104797834832526</v>
      </c>
    </row>
    <row r="36" spans="1:9" x14ac:dyDescent="0.3">
      <c r="A36" s="3" t="s">
        <v>43</v>
      </c>
      <c r="B36" s="8">
        <f>IF(COUNT(I32:I35)&lt;4,"",AVERAGE(I32:I35))</f>
        <v>4.4503463180009595</v>
      </c>
      <c r="C36" s="3" t="s">
        <v>44</v>
      </c>
      <c r="D36" s="8">
        <f>IFERROR((B36-4)/(4-1),"")</f>
        <v>0.15011543933365315</v>
      </c>
      <c r="E36" s="3" t="s">
        <v>46</v>
      </c>
      <c r="F36" s="10">
        <f>IFERROR(D36/0.9,"")</f>
        <v>0.16679493259294795</v>
      </c>
      <c r="G36" t="str">
        <f>IF(F36="","заполните матрицу",IF(F36&lt;=0.1,"согласовано","CR &gt; 0,1: пересмотреть"))</f>
        <v>CR &gt; 0,1: пересмотреть</v>
      </c>
    </row>
    <row r="43" spans="1:9" x14ac:dyDescent="0.3">
      <c r="A43" s="2" t="str">
        <f>"Альтернативы по критерию: "&amp;Справочник!$B$19</f>
        <v>Альтернативы по критерию: Пригодность для оценки и планирования</v>
      </c>
    </row>
    <row r="44" spans="1:9" ht="45" customHeight="1" x14ac:dyDescent="0.3">
      <c r="A44" s="4"/>
      <c r="B44" s="5" t="str">
        <f>Справочник!$B$10</f>
        <v>Бронь</v>
      </c>
      <c r="C44" s="5" t="str">
        <f>Справочник!$B$11</f>
        <v>Бюджет</v>
      </c>
      <c r="D44" s="5" t="str">
        <f>Справочник!$B$12</f>
        <v>Запись</v>
      </c>
      <c r="E44" s="5" t="str">
        <f>Справочник!$B$13</f>
        <v>Привычки</v>
      </c>
      <c r="F44" s="5" t="s">
        <v>39</v>
      </c>
      <c r="G44" s="5" t="s">
        <v>40</v>
      </c>
      <c r="H44" s="5" t="s">
        <v>41</v>
      </c>
      <c r="I44" s="5" t="s">
        <v>42</v>
      </c>
    </row>
    <row r="45" spans="1:9" x14ac:dyDescent="0.3">
      <c r="A45" s="3" t="str">
        <f>Справочник!$B$10</f>
        <v>Бронь</v>
      </c>
      <c r="B45" s="6">
        <v>1</v>
      </c>
      <c r="C45" s="7">
        <v>3</v>
      </c>
      <c r="D45" s="7">
        <v>0.5</v>
      </c>
      <c r="E45" s="7">
        <v>3</v>
      </c>
      <c r="F45" s="8">
        <f>IF(COUNT(B45:E45)&lt;4,"",GEOMEAN(B45:E45))</f>
        <v>1.4564753151219703</v>
      </c>
      <c r="G45" s="9">
        <f>IFERROR(F45/SUM($F$45:$F$48),"")</f>
        <v>0.29032191045159028</v>
      </c>
      <c r="H45" s="8">
        <f>IFERROR(B45*$G$45+C45*$G$46+D45*$G$47+E45*$G$48,"")</f>
        <v>1.1661235572288897</v>
      </c>
      <c r="I45" s="8">
        <f>IFERROR(H45/G45,"")</f>
        <v>4.0166570804628776</v>
      </c>
    </row>
    <row r="46" spans="1:9" x14ac:dyDescent="0.3">
      <c r="A46" s="3" t="str">
        <f>Справочник!$B$11</f>
        <v>Бюджет</v>
      </c>
      <c r="B46" s="8">
        <f>IF(C45="","",1/C45)</f>
        <v>0.33333333333333331</v>
      </c>
      <c r="C46" s="6">
        <v>1</v>
      </c>
      <c r="D46" s="7">
        <v>0.2</v>
      </c>
      <c r="E46" s="7">
        <v>1</v>
      </c>
      <c r="F46" s="8">
        <f>IF(COUNT(B46:E46)&lt;4,"",GEOMEAN(B46:E46))</f>
        <v>0.50813274815461473</v>
      </c>
      <c r="G46" s="9">
        <f>IFERROR(F46/SUM($F$45:$F$48),"")</f>
        <v>0.10128703773802752</v>
      </c>
      <c r="H46" s="8">
        <f>IFERROR(B46*$G$45+C46*$G$46+D46*$G$47+E46*$G$48,"")</f>
        <v>0.4054176207012023</v>
      </c>
      <c r="I46" s="8">
        <f>IFERROR(H46/G46,"")</f>
        <v>4.002660456412884</v>
      </c>
    </row>
    <row r="47" spans="1:9" x14ac:dyDescent="0.3">
      <c r="A47" s="3" t="str">
        <f>Справочник!$B$12</f>
        <v>Запись</v>
      </c>
      <c r="B47" s="8">
        <f>IF(D45="","",1/D45)</f>
        <v>2</v>
      </c>
      <c r="C47" s="8">
        <f>IF(D46="","",1/D46)</f>
        <v>5</v>
      </c>
      <c r="D47" s="6">
        <v>1</v>
      </c>
      <c r="E47" s="7">
        <v>4</v>
      </c>
      <c r="F47" s="8">
        <f>IF(COUNT(B47:E47)&lt;4,"",GEOMEAN(B47:E47))</f>
        <v>2.514866859365871</v>
      </c>
      <c r="G47" s="9">
        <f>IFERROR(F47/SUM($F$45:$F$48),"")</f>
        <v>0.50129304874717195</v>
      </c>
      <c r="H47" s="8">
        <f>IFERROR(B47*$G$45+C47*$G$46+D47*$G$47+E47*$G$48,"")</f>
        <v>2.0167640705933314</v>
      </c>
      <c r="I47" s="8">
        <f>IFERROR(H47/G47,"")</f>
        <v>4.0231239504190492</v>
      </c>
    </row>
    <row r="48" spans="1:9" x14ac:dyDescent="0.3">
      <c r="A48" s="3" t="str">
        <f>Справочник!$B$13</f>
        <v>Привычки</v>
      </c>
      <c r="B48" s="8">
        <f>IF(E45="","",1/E45)</f>
        <v>0.33333333333333331</v>
      </c>
      <c r="C48" s="8">
        <f>IF(E46="","",1/E46)</f>
        <v>1</v>
      </c>
      <c r="D48" s="8">
        <f>IF(E47="","",1/E47)</f>
        <v>0.25</v>
      </c>
      <c r="E48" s="6">
        <v>1</v>
      </c>
      <c r="F48" s="8">
        <f>IF(COUNT(B48:E48)&lt;4,"",GEOMEAN(B48:E48))</f>
        <v>0.537284965911771</v>
      </c>
      <c r="G48" s="9">
        <f>IFERROR(F48/SUM($F$45:$F$48),"")</f>
        <v>0.10709800306321027</v>
      </c>
      <c r="H48" s="8">
        <f>IFERROR(B48*$G$45+C48*$G$46+D48*$G$47+E48*$G$48,"")</f>
        <v>0.43048227313856091</v>
      </c>
      <c r="I48" s="8">
        <f>IFERROR(H48/G48,"")</f>
        <v>4.0195172722733785</v>
      </c>
    </row>
    <row r="49" spans="1:9" x14ac:dyDescent="0.3">
      <c r="A49" s="3" t="s">
        <v>43</v>
      </c>
      <c r="B49" s="8">
        <f>IF(COUNT(I45:I48)&lt;4,"",AVERAGE(I45:I48))</f>
        <v>4.0154896898920471</v>
      </c>
      <c r="C49" s="3" t="s">
        <v>44</v>
      </c>
      <c r="D49" s="8">
        <f>IFERROR((B49-4)/(4-1),"")</f>
        <v>5.1632299640157102E-3</v>
      </c>
      <c r="E49" s="3" t="s">
        <v>46</v>
      </c>
      <c r="F49" s="10">
        <f>IFERROR(D49/0.9,"")</f>
        <v>5.7369221822396775E-3</v>
      </c>
      <c r="G49" t="str">
        <f>IF(F49="","заполните матрицу",IF(F49&lt;=0.1,"согласовано","CR &gt; 0,1: пересмотреть"))</f>
        <v>согласовано</v>
      </c>
    </row>
    <row r="56" spans="1:9" x14ac:dyDescent="0.3">
      <c r="A56" s="2" t="str">
        <f>"Альтернативы по критерию: "&amp;Справочник!$B$20</f>
        <v>Альтернативы по критерию: Потенциал монетизации</v>
      </c>
    </row>
    <row r="57" spans="1:9" ht="45" customHeight="1" x14ac:dyDescent="0.3">
      <c r="A57" s="4"/>
      <c r="B57" s="5" t="str">
        <f>Справочник!$B$10</f>
        <v>Бронь</v>
      </c>
      <c r="C57" s="5" t="str">
        <f>Справочник!$B$11</f>
        <v>Бюджет</v>
      </c>
      <c r="D57" s="5" t="str">
        <f>Справочник!$B$12</f>
        <v>Запись</v>
      </c>
      <c r="E57" s="5" t="str">
        <f>Справочник!$B$13</f>
        <v>Привычки</v>
      </c>
      <c r="F57" s="5" t="s">
        <v>39</v>
      </c>
      <c r="G57" s="5" t="s">
        <v>40</v>
      </c>
      <c r="H57" s="5" t="s">
        <v>41</v>
      </c>
      <c r="I57" s="5" t="s">
        <v>42</v>
      </c>
    </row>
    <row r="58" spans="1:9" x14ac:dyDescent="0.3">
      <c r="A58" s="3" t="str">
        <f>Справочник!$B$10</f>
        <v>Бронь</v>
      </c>
      <c r="B58" s="6">
        <v>1</v>
      </c>
      <c r="C58" s="7">
        <v>1</v>
      </c>
      <c r="D58" s="7">
        <v>0.25</v>
      </c>
      <c r="E58" s="7">
        <v>2</v>
      </c>
      <c r="F58" s="8">
        <f>IF(COUNT(B58:E58)&lt;4,"",GEOMEAN(B58:E58))</f>
        <v>0.8408964152537145</v>
      </c>
      <c r="G58" s="9">
        <f>IFERROR(F58/SUM($F$58:$F$61),"")</f>
        <v>0.1723860866837815</v>
      </c>
      <c r="H58" s="8">
        <f>IFERROR(B58*$G$58+C58*$G$59+D58*$G$60+E58*$G$61,"")</f>
        <v>0.70639572765909497</v>
      </c>
      <c r="I58" s="8">
        <f>IFERROR(H58/G58,"")</f>
        <v>4.0977537181111403</v>
      </c>
    </row>
    <row r="59" spans="1:9" x14ac:dyDescent="0.3">
      <c r="A59" s="3" t="str">
        <f>Справочник!$B$11</f>
        <v>Бюджет</v>
      </c>
      <c r="B59" s="8">
        <f>IF(C58="","",1/C58)</f>
        <v>1</v>
      </c>
      <c r="C59" s="6">
        <v>1</v>
      </c>
      <c r="D59" s="7">
        <v>0.3</v>
      </c>
      <c r="E59" s="7">
        <v>1</v>
      </c>
      <c r="F59" s="8">
        <f>IF(COUNT(B59:E59)&lt;4,"",GEOMEAN(B59:E59))</f>
        <v>0.74008280449228525</v>
      </c>
      <c r="G59" s="9">
        <f>IFERROR(F59/SUM($F$58:$F$61),"")</f>
        <v>0.15171901815027941</v>
      </c>
      <c r="H59" s="8">
        <f>IFERROR(B59*$G$58+C59*$G$59+D59*$G$60+E59*$G$61,"")</f>
        <v>0.61220033299726229</v>
      </c>
      <c r="I59" s="8">
        <f>IFERROR(H59/G59,"")</f>
        <v>4.0350929004224829</v>
      </c>
    </row>
    <row r="60" spans="1:9" x14ac:dyDescent="0.3">
      <c r="A60" s="3" t="str">
        <f>Справочник!$B$12</f>
        <v>Запись</v>
      </c>
      <c r="B60" s="8">
        <f>IF(D58="","",1/D58)</f>
        <v>4</v>
      </c>
      <c r="C60" s="8">
        <f>IF(D59="","",1/D59)</f>
        <v>3.3333333333333335</v>
      </c>
      <c r="D60" s="6">
        <v>1</v>
      </c>
      <c r="E60" s="7">
        <v>4</v>
      </c>
      <c r="F60" s="8">
        <f>IF(COUNT(B60:E60)&lt;4,"",GEOMEAN(B60:E60))</f>
        <v>2.702400309614069</v>
      </c>
      <c r="G60" s="9">
        <f>IFERROR(F60/SUM($F$58:$F$61),"")</f>
        <v>0.55399952428962507</v>
      </c>
      <c r="H60" s="8">
        <f>IFERROR(B60*$G$58+C60*$G$59+D60*$G$60+E60*$G$61,"")</f>
        <v>2.2368554150309379</v>
      </c>
      <c r="I60" s="8">
        <f>IFERROR(H60/G60,"")</f>
        <v>4.0376486205456263</v>
      </c>
    </row>
    <row r="61" spans="1:9" x14ac:dyDescent="0.3">
      <c r="A61" s="3" t="str">
        <f>Справочник!$B$13</f>
        <v>Привычки</v>
      </c>
      <c r="B61" s="8">
        <f>IF(E58="","",1/E58)</f>
        <v>0.5</v>
      </c>
      <c r="C61" s="8">
        <f>IF(E59="","",1/E59)</f>
        <v>1</v>
      </c>
      <c r="D61" s="8">
        <f>IF(E60="","",1/E60)</f>
        <v>0.25</v>
      </c>
      <c r="E61" s="6">
        <v>1</v>
      </c>
      <c r="F61" s="8">
        <f>IF(COUNT(B61:E61)&lt;4,"",GEOMEAN(B61:E61))</f>
        <v>0.59460355750136051</v>
      </c>
      <c r="G61" s="9">
        <f>IFERROR(F61/SUM($F$58:$F$61),"")</f>
        <v>0.12189537087631391</v>
      </c>
      <c r="H61" s="8">
        <f>IFERROR(B61*$G$58+C61*$G$59+D61*$G$60+E61*$G$61,"")</f>
        <v>0.49830731344089035</v>
      </c>
      <c r="I61" s="8">
        <f>IFERROR(H61/G61,"")</f>
        <v>4.0879921022310031</v>
      </c>
    </row>
    <row r="62" spans="1:9" x14ac:dyDescent="0.3">
      <c r="A62" s="3" t="s">
        <v>43</v>
      </c>
      <c r="B62" s="8">
        <f>IF(COUNT(I58:I61)&lt;4,"",AVERAGE(I58:I61))</f>
        <v>4.0646218353275634</v>
      </c>
      <c r="C62" s="3" t="s">
        <v>44</v>
      </c>
      <c r="D62" s="8">
        <f>IFERROR((B62-4)/(4-1),"")</f>
        <v>2.1540611775854462E-2</v>
      </c>
      <c r="E62" s="3" t="s">
        <v>46</v>
      </c>
      <c r="F62" s="10">
        <f>IFERROR(D62/0.9,"")</f>
        <v>2.3934013084282734E-2</v>
      </c>
      <c r="G62" t="str">
        <f>IF(F62="","заполните матрицу",IF(F62&lt;=0.1,"согласовано","CR &gt; 0,1: пересмотреть"))</f>
        <v>согласовано</v>
      </c>
    </row>
    <row r="69" spans="1:9" x14ac:dyDescent="0.3">
      <c r="A69" s="2" t="str">
        <f>"Альтернативы по критерию: "&amp;Справочник!$B$21</f>
        <v>Альтернативы по критерию: Интерес и экспертиза команды</v>
      </c>
    </row>
    <row r="70" spans="1:9" ht="45" customHeight="1" x14ac:dyDescent="0.3">
      <c r="A70" s="4"/>
      <c r="B70" s="5" t="str">
        <f>Справочник!$B$10</f>
        <v>Бронь</v>
      </c>
      <c r="C70" s="5" t="str">
        <f>Справочник!$B$11</f>
        <v>Бюджет</v>
      </c>
      <c r="D70" s="5" t="str">
        <f>Справочник!$B$12</f>
        <v>Запись</v>
      </c>
      <c r="E70" s="5" t="str">
        <f>Справочник!$B$13</f>
        <v>Привычки</v>
      </c>
      <c r="F70" s="5" t="s">
        <v>39</v>
      </c>
      <c r="G70" s="5" t="s">
        <v>40</v>
      </c>
      <c r="H70" s="5" t="s">
        <v>41</v>
      </c>
      <c r="I70" s="5" t="s">
        <v>42</v>
      </c>
    </row>
    <row r="71" spans="1:9" x14ac:dyDescent="0.3">
      <c r="A71" s="3" t="str">
        <f>Справочник!$B$10</f>
        <v>Бронь</v>
      </c>
      <c r="B71" s="6">
        <v>1</v>
      </c>
      <c r="C71" s="7">
        <v>1</v>
      </c>
      <c r="D71" s="7">
        <v>0.25</v>
      </c>
      <c r="E71" s="7">
        <v>3</v>
      </c>
      <c r="F71" s="8">
        <f>IF(COUNT(B71:E71)&lt;4,"",GEOMEAN(B71:E71))</f>
        <v>0.93060485910209956</v>
      </c>
      <c r="G71" s="9">
        <f>IFERROR(F71/SUM($F$71:$F$74),"")</f>
        <v>0.18599361340240447</v>
      </c>
      <c r="H71" s="8">
        <f>IFERROR(B71*$G$71+C71*$G$72+D71*$G$73+E71*$G$74,"")</f>
        <v>0.79079317123155923</v>
      </c>
      <c r="I71" s="8">
        <f>IFERROR(H71/G71,"")</f>
        <v>4.2517221788720629</v>
      </c>
    </row>
    <row r="72" spans="1:9" x14ac:dyDescent="0.3">
      <c r="A72" s="3" t="str">
        <f>Справочник!$B$11</f>
        <v>Бюджет</v>
      </c>
      <c r="B72" s="8">
        <f>IF(C71="","",1/C71)</f>
        <v>1</v>
      </c>
      <c r="C72" s="6">
        <v>1</v>
      </c>
      <c r="D72" s="7">
        <v>0.25</v>
      </c>
      <c r="E72" s="7">
        <v>1</v>
      </c>
      <c r="F72" s="8">
        <f>IF(COUNT(B72:E72)&lt;4,"",GEOMEAN(B72:E72))</f>
        <v>0.70710678118654757</v>
      </c>
      <c r="G72" s="9">
        <f>IFERROR(F72/SUM($F$71:$F$74),"")</f>
        <v>0.14132458476643325</v>
      </c>
      <c r="H72" s="8">
        <f>IFERROR(B72*$G$71+C72*$G$72+D72*$G$73+E72*$G$74,"")</f>
        <v>0.57602624570070038</v>
      </c>
      <c r="I72" s="8">
        <f>IFERROR(H72/G72,"")</f>
        <v>4.075909698604085</v>
      </c>
    </row>
    <row r="73" spans="1:9" x14ac:dyDescent="0.3">
      <c r="A73" s="3" t="str">
        <f>Справочник!$B$12</f>
        <v>Запись</v>
      </c>
      <c r="B73" s="8">
        <f>IF(D71="","",1/D71)</f>
        <v>4</v>
      </c>
      <c r="C73" s="8">
        <f>IF(D72="","",1/D72)</f>
        <v>4</v>
      </c>
      <c r="D73" s="6">
        <v>1</v>
      </c>
      <c r="E73" s="7">
        <v>4</v>
      </c>
      <c r="F73" s="8">
        <f>IF(COUNT(B73:E73)&lt;4,"",GEOMEAN(B73:E73))</f>
        <v>2.8284271247461898</v>
      </c>
      <c r="G73" s="9">
        <f>IFERROR(F73/SUM($F$71:$F$74),"")</f>
        <v>0.5652983390657329</v>
      </c>
      <c r="H73" s="8">
        <f>IFERROR(B73*$G$71+C73*$G$72+D73*$G$73+E73*$G$74,"")</f>
        <v>2.3041049828028015</v>
      </c>
      <c r="I73" s="8">
        <f>IFERROR(H73/G73,"")</f>
        <v>4.0759096986040859</v>
      </c>
    </row>
    <row r="74" spans="1:9" x14ac:dyDescent="0.3">
      <c r="A74" s="3" t="str">
        <f>Справочник!$B$13</f>
        <v>Привычки</v>
      </c>
      <c r="B74" s="8">
        <f>IF(E71="","",1/E71)</f>
        <v>0.33333333333333331</v>
      </c>
      <c r="C74" s="8">
        <f>IF(E72="","",1/E72)</f>
        <v>1</v>
      </c>
      <c r="D74" s="8">
        <f>IF(E73="","",1/E73)</f>
        <v>0.25</v>
      </c>
      <c r="E74" s="6">
        <v>1</v>
      </c>
      <c r="F74" s="8">
        <f>IF(COUNT(B74:E74)&lt;4,"",GEOMEAN(B74:E74))</f>
        <v>0.537284965911771</v>
      </c>
      <c r="G74" s="9">
        <f>IFERROR(F74/SUM($F$71:$F$74),"")</f>
        <v>0.10738346276542941</v>
      </c>
      <c r="H74" s="8">
        <f>IFERROR(B74*$G$71+C74*$G$72+D74*$G$73+E74*$G$74,"")</f>
        <v>0.45203050343243073</v>
      </c>
      <c r="I74" s="8">
        <f>IFERROR(H74/G74,"")</f>
        <v>4.2094982950946109</v>
      </c>
    </row>
    <row r="75" spans="1:9" x14ac:dyDescent="0.3">
      <c r="A75" s="3" t="s">
        <v>43</v>
      </c>
      <c r="B75" s="8">
        <f>IF(COUNT(I71:I74)&lt;4,"",AVERAGE(I71:I74))</f>
        <v>4.1532599677937112</v>
      </c>
      <c r="C75" s="3" t="s">
        <v>44</v>
      </c>
      <c r="D75" s="8">
        <f>IFERROR((B75-4)/(4-1),"")</f>
        <v>5.1086655931237068E-2</v>
      </c>
      <c r="E75" s="3" t="s">
        <v>46</v>
      </c>
      <c r="F75" s="10">
        <f>IFERROR(D75/0.9,"")</f>
        <v>5.6762951034707854E-2</v>
      </c>
      <c r="G75" t="str">
        <f>IF(F75="","заполните матрицу",IF(F75&lt;=0.1,"согласовано","CR &gt; 0,1: пересмотреть"))</f>
        <v>согласовано</v>
      </c>
    </row>
  </sheetData>
  <dataValidations count="1">
    <dataValidation type="decimal" showErrorMessage="1" error="Число от 1/9 до 9 (обратные вводить формулой, например =1/3)" sqref="C6 C19 C32 C45 C58 C71 D6 D7 D19 D20 D32 D33 D45 D46 D58 D59 D71 D72 E6 E7 E8 E19 E20 E21 E32 E33 E34 E45 E46 E47 E58 E59 E60 E71 E72 E73 F6 F7 F8 F9" xr:uid="{00000000-0002-0000-0200-000000000000}">
      <formula1>0.111</formula1>
      <formula2>9</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5"/>
  <sheetViews>
    <sheetView tabSelected="1" topLeftCell="A60" workbookViewId="0">
      <selection activeCell="E74" sqref="E74"/>
    </sheetView>
  </sheetViews>
  <sheetFormatPr defaultRowHeight="14.4" x14ac:dyDescent="0.3"/>
  <cols>
    <col min="1" max="1" width="32" customWidth="1"/>
    <col min="2" max="11" width="13" customWidth="1"/>
  </cols>
  <sheetData>
    <row r="1" spans="1:10" ht="17.399999999999999" x14ac:dyDescent="0.35">
      <c r="A1" s="1" t="str">
        <f>"Попарные сравнения, эксперт 3: "&amp;Справочник!$B$6</f>
        <v>Попарные сравнения, эксперт 3: Пауликайте Елона</v>
      </c>
    </row>
    <row r="2" spans="1:10" x14ac:dyDescent="0.3">
      <c r="A2" t="s">
        <v>37</v>
      </c>
    </row>
    <row r="4" spans="1:10" x14ac:dyDescent="0.3">
      <c r="A4" s="2" t="s">
        <v>38</v>
      </c>
    </row>
    <row r="5" spans="1:10" ht="45" customHeight="1" x14ac:dyDescent="0.3">
      <c r="A5" s="4"/>
      <c r="B5" s="5" t="str">
        <f>Справочник!$B$17</f>
        <v>Востребованность</v>
      </c>
      <c r="C5" s="5" t="str">
        <f>Справочник!$B$18</f>
        <v>Простота реализации MVP</v>
      </c>
      <c r="D5" s="5" t="str">
        <f>Справочник!$B$19</f>
        <v>Пригодность для оценки и планирования</v>
      </c>
      <c r="E5" s="5" t="str">
        <f>Справочник!$B$20</f>
        <v>Потенциал монетизации</v>
      </c>
      <c r="F5" s="5" t="str">
        <f>Справочник!$B$21</f>
        <v>Интерес и экспертиза команды</v>
      </c>
      <c r="G5" s="5" t="s">
        <v>39</v>
      </c>
      <c r="H5" s="5" t="s">
        <v>40</v>
      </c>
      <c r="I5" s="5" t="s">
        <v>41</v>
      </c>
      <c r="J5" s="5" t="s">
        <v>42</v>
      </c>
    </row>
    <row r="6" spans="1:10" x14ac:dyDescent="0.3">
      <c r="A6" s="3" t="str">
        <f>Справочник!$B$17</f>
        <v>Востребованность</v>
      </c>
      <c r="B6" s="6">
        <v>1</v>
      </c>
      <c r="C6" s="7">
        <v>0.5</v>
      </c>
      <c r="D6" s="7">
        <v>0.33333333333333331</v>
      </c>
      <c r="E6" s="7">
        <v>2</v>
      </c>
      <c r="F6" s="7">
        <v>1</v>
      </c>
      <c r="G6" s="8">
        <f>IF(COUNT(B6:F6)&lt;5,"",GEOMEAN(B6:F6))</f>
        <v>0.8027415617602307</v>
      </c>
      <c r="H6" s="9">
        <f>IFERROR(G6/SUM($G$6:$G$10),"")</f>
        <v>0.13910427319279764</v>
      </c>
      <c r="I6" s="8">
        <f>IFERROR(B6*$H$6+C6*$H$7+D6*$H$8+E6*$H$9+F6*$H$10,"")</f>
        <v>0.69932073740547485</v>
      </c>
      <c r="J6" s="8">
        <f>IFERROR(I6/H6,"")</f>
        <v>5.0273131180968162</v>
      </c>
    </row>
    <row r="7" spans="1:10" x14ac:dyDescent="0.3">
      <c r="A7" s="3" t="str">
        <f>Справочник!$B$18</f>
        <v>Простота реализации MVP</v>
      </c>
      <c r="B7" s="8">
        <f>IF(C6="","",1/C6)</f>
        <v>2</v>
      </c>
      <c r="C7" s="6">
        <v>1</v>
      </c>
      <c r="D7" s="7">
        <v>0.4</v>
      </c>
      <c r="E7" s="7">
        <v>3</v>
      </c>
      <c r="F7" s="7">
        <v>2</v>
      </c>
      <c r="G7" s="8">
        <f>IF(COUNT(B7:F7)&lt;5,"",GEOMEAN(B7:F7))</f>
        <v>1.3685108578372633</v>
      </c>
      <c r="H7" s="9">
        <f>IFERROR(G7/SUM($G$6:$G$10),"")</f>
        <v>0.2371444525912868</v>
      </c>
      <c r="I7" s="8">
        <f>IFERROR(B7*$H$6+C7*$H$7+D7*$H$8+E7*$H$9+F7*$H$10,"")</f>
        <v>1.2139464654386596</v>
      </c>
      <c r="J7" s="8">
        <f>IFERROR(I7/H7,"")</f>
        <v>5.1190169205891962</v>
      </c>
    </row>
    <row r="8" spans="1:10" x14ac:dyDescent="0.3">
      <c r="A8" s="3" t="str">
        <f>Справочник!$B$19</f>
        <v>Пригодность для оценки и планирования</v>
      </c>
      <c r="B8" s="8">
        <f>IF(D6="","",1/D6)</f>
        <v>3</v>
      </c>
      <c r="C8" s="8">
        <f>IF(D7="","",1/D7)</f>
        <v>2.5</v>
      </c>
      <c r="D8" s="6">
        <v>1</v>
      </c>
      <c r="E8" s="7">
        <v>4</v>
      </c>
      <c r="F8" s="7">
        <v>2</v>
      </c>
      <c r="G8" s="8">
        <f>IF(COUNT(B8:F8)&lt;5,"",GEOMEAN(B8:F8))</f>
        <v>2.2679331552660544</v>
      </c>
      <c r="H8" s="9">
        <f>IFERROR(G8/SUM($G$6:$G$10),"")</f>
        <v>0.39300219179054124</v>
      </c>
      <c r="I8" s="8">
        <f>IFERROR(B8*$H$6+C8*$H$7+D8*$H$8+E8*$H$9+F8*$H$10,"")</f>
        <v>2.0244631574875243</v>
      </c>
      <c r="J8" s="8">
        <f>IFERROR(I8/H8,"")</f>
        <v>5.1512770151839362</v>
      </c>
    </row>
    <row r="9" spans="1:10" x14ac:dyDescent="0.3">
      <c r="A9" s="3" t="str">
        <f>Справочник!$B$20</f>
        <v>Потенциал монетизации</v>
      </c>
      <c r="B9" s="8">
        <f>IF(E6="","",1/E6)</f>
        <v>0.5</v>
      </c>
      <c r="C9" s="8">
        <f>IF(E7="","",1/E7)</f>
        <v>0.33333333333333331</v>
      </c>
      <c r="D9" s="8">
        <f>IF(E8="","",1/E8)</f>
        <v>0.25</v>
      </c>
      <c r="E9" s="6">
        <v>1</v>
      </c>
      <c r="F9" s="7">
        <v>0.5</v>
      </c>
      <c r="G9" s="8">
        <f>IF(COUNT(B9:F9)&lt;5,"",GEOMEAN(B9:F9))</f>
        <v>0.46105395574086389</v>
      </c>
      <c r="H9" s="9">
        <f>IFERROR(G9/SUM($G$6:$G$10),"")</f>
        <v>7.989442489481241E-2</v>
      </c>
      <c r="I9" s="8">
        <f>IFERROR(B9*$H$6+C9*$H$7+D9*$H$8+E9*$H$9+F9*$H$10,"")</f>
        <v>0.40217258906788972</v>
      </c>
      <c r="J9" s="8">
        <f>IFERROR(I9/H9,"")</f>
        <v>5.0338004134504137</v>
      </c>
    </row>
    <row r="10" spans="1:10" x14ac:dyDescent="0.3">
      <c r="A10" s="3" t="str">
        <f>Справочник!$B$21</f>
        <v>Интерес и экспертиза команды</v>
      </c>
      <c r="B10" s="8">
        <f>IF(F6="","",1/F6)</f>
        <v>1</v>
      </c>
      <c r="C10" s="8">
        <f>IF(F7="","",1/F7)</f>
        <v>0.5</v>
      </c>
      <c r="D10" s="8">
        <f>IF(F8="","",1/F8)</f>
        <v>0.5</v>
      </c>
      <c r="E10" s="8">
        <f>IF(F9="","",1/F9)</f>
        <v>2</v>
      </c>
      <c r="F10" s="6">
        <v>1</v>
      </c>
      <c r="G10" s="8">
        <f>IF(COUNT(B10:F10)&lt;5,"",GEOMEAN(B10:F10))</f>
        <v>0.87055056329612412</v>
      </c>
      <c r="H10" s="9">
        <f>IFERROR(G10/SUM($G$6:$G$10),"")</f>
        <v>0.15085465753056182</v>
      </c>
      <c r="I10" s="8">
        <f>IFERROR(B10*$H$6+C10*$H$7+D10*$H$8+E10*$H$9+F10*$H$10,"")</f>
        <v>0.76482110270389836</v>
      </c>
      <c r="J10" s="8">
        <f>IFERROR(I10/H10,"")</f>
        <v>5.069920380475839</v>
      </c>
    </row>
    <row r="11" spans="1:10" x14ac:dyDescent="0.3">
      <c r="A11" s="3" t="s">
        <v>43</v>
      </c>
      <c r="B11" s="8">
        <f>IF(COUNT(J6:J10)&lt;5,"",AVERAGE(J6:J10))</f>
        <v>5.0802655695592405</v>
      </c>
      <c r="C11" s="3" t="s">
        <v>44</v>
      </c>
      <c r="D11" s="8">
        <f>IFERROR((B11-5)/(5-1),"")</f>
        <v>2.0066392389810117E-2</v>
      </c>
      <c r="E11" s="3" t="s">
        <v>45</v>
      </c>
      <c r="F11" s="10">
        <f>IFERROR(D11/1.12,"")</f>
        <v>1.7916421776616176E-2</v>
      </c>
      <c r="G11" t="str">
        <f>IF(F11="","заполните матрицу",IF(F11&lt;=0.1,"согласовано","CR &gt; 0,1: пересмотреть"))</f>
        <v>согласовано</v>
      </c>
    </row>
    <row r="17" spans="1:9" x14ac:dyDescent="0.3">
      <c r="A17" s="2" t="str">
        <f>"Альтернативы по критерию: "&amp;Справочник!$B$17</f>
        <v>Альтернативы по критерию: Востребованность</v>
      </c>
    </row>
    <row r="18" spans="1:9" ht="45" customHeight="1" x14ac:dyDescent="0.3">
      <c r="A18" s="4"/>
      <c r="B18" s="5" t="str">
        <f>Справочник!$B$10</f>
        <v>Бронь</v>
      </c>
      <c r="C18" s="5" t="str">
        <f>Справочник!$B$11</f>
        <v>Бюджет</v>
      </c>
      <c r="D18" s="5" t="str">
        <f>Справочник!$B$12</f>
        <v>Запись</v>
      </c>
      <c r="E18" s="5" t="str">
        <f>Справочник!$B$13</f>
        <v>Привычки</v>
      </c>
      <c r="F18" s="5" t="s">
        <v>39</v>
      </c>
      <c r="G18" s="5" t="s">
        <v>40</v>
      </c>
      <c r="H18" s="5" t="s">
        <v>41</v>
      </c>
      <c r="I18" s="5" t="s">
        <v>42</v>
      </c>
    </row>
    <row r="19" spans="1:9" x14ac:dyDescent="0.3">
      <c r="A19" s="3" t="str">
        <f>Справочник!$B$10</f>
        <v>Бронь</v>
      </c>
      <c r="B19" s="6">
        <v>1</v>
      </c>
      <c r="C19" s="7">
        <v>1</v>
      </c>
      <c r="D19" s="7">
        <v>0.3</v>
      </c>
      <c r="E19" s="7">
        <v>1</v>
      </c>
      <c r="F19" s="8">
        <f>IF(COUNT(B19:E19)&lt;4,"",GEOMEAN(B19:E19))</f>
        <v>0.74008280449228525</v>
      </c>
      <c r="G19" s="9">
        <f>IFERROR(F19/SUM($F$19:$F$22),"")</f>
        <v>0.16981873318110177</v>
      </c>
      <c r="H19" s="8">
        <f>IFERROR(B19*$G$19+C19*$G$20+D19*$G$21+E19*$G$22,"")</f>
        <v>0.69307094144059089</v>
      </c>
      <c r="I19" s="8">
        <f>IFERROR(H19/G19,"")</f>
        <v>4.0812396162528852</v>
      </c>
    </row>
    <row r="20" spans="1:9" x14ac:dyDescent="0.3">
      <c r="A20" s="3" t="str">
        <f>Справочник!$B$11</f>
        <v>Бюджет</v>
      </c>
      <c r="B20" s="8">
        <f>IF(C19="","",1/C19)</f>
        <v>1</v>
      </c>
      <c r="C20" s="6">
        <v>1</v>
      </c>
      <c r="D20" s="7">
        <v>0.5</v>
      </c>
      <c r="E20" s="7">
        <v>2</v>
      </c>
      <c r="F20" s="8">
        <f>IF(COUNT(B20:E20)&lt;4,"",GEOMEAN(B20:E20))</f>
        <v>1</v>
      </c>
      <c r="G20" s="9">
        <f>IFERROR(F20/SUM($F$19:$F$22),"")</f>
        <v>0.22945909856343921</v>
      </c>
      <c r="H20" s="8">
        <f>IFERROR(B20*$G$19+C20*$G$20+D20*$G$21+E20*$G$22,"")</f>
        <v>0.94301704277101095</v>
      </c>
      <c r="I20" s="8">
        <f>IFERROR(H20/G20,"")</f>
        <v>4.109739159069747</v>
      </c>
    </row>
    <row r="21" spans="1:9" x14ac:dyDescent="0.3">
      <c r="A21" s="3" t="str">
        <f>Справочник!$B$12</f>
        <v>Запись</v>
      </c>
      <c r="B21" s="8">
        <f>IF(D19="","",1/D19)</f>
        <v>3.3333333333333335</v>
      </c>
      <c r="C21" s="8">
        <f>IF(D20="","",1/D20)</f>
        <v>2</v>
      </c>
      <c r="D21" s="6">
        <v>1</v>
      </c>
      <c r="E21" s="7">
        <v>2</v>
      </c>
      <c r="F21" s="8">
        <f>IF(COUNT(B21:E21)&lt;4,"",GEOMEAN(B21:E21))</f>
        <v>1.9108855844087336</v>
      </c>
      <c r="G21" s="9">
        <f>IFERROR(F21/SUM($F$19:$F$22),"")</f>
        <v>0.43847008365629869</v>
      </c>
      <c r="H21" s="8">
        <f>IFERROR(B21*$G$19+C21*$G$20+D21*$G$21+E21*$G$22,"")</f>
        <v>1.7879548939185037</v>
      </c>
      <c r="I21" s="8">
        <f>IFERROR(H21/G21,"")</f>
        <v>4.0777123926201968</v>
      </c>
    </row>
    <row r="22" spans="1:9" x14ac:dyDescent="0.3">
      <c r="A22" s="3" t="str">
        <f>Справочник!$B$13</f>
        <v>Привычки</v>
      </c>
      <c r="B22" s="8">
        <f>IF(E19="","",1/E19)</f>
        <v>1</v>
      </c>
      <c r="C22" s="8">
        <f>IF(E20="","",1/E20)</f>
        <v>0.5</v>
      </c>
      <c r="D22" s="8">
        <f>IF(E21="","",1/E21)</f>
        <v>0.5</v>
      </c>
      <c r="E22" s="6">
        <v>1</v>
      </c>
      <c r="F22" s="8">
        <f>IF(COUNT(B22:E22)&lt;4,"",GEOMEAN(B22:E22))</f>
        <v>0.70710678118654757</v>
      </c>
      <c r="G22" s="9">
        <f>IFERROR(F22/SUM($F$19:$F$22),"")</f>
        <v>0.16225208459916027</v>
      </c>
      <c r="H22" s="8">
        <f>IFERROR(B22*$G$19+C22*$G$20+D22*$G$21+E22*$G$22,"")</f>
        <v>0.66603540889013102</v>
      </c>
      <c r="I22" s="8">
        <f>IFERROR(H22/G22,"")</f>
        <v>4.1049420753856873</v>
      </c>
    </row>
    <row r="23" spans="1:9" x14ac:dyDescent="0.3">
      <c r="A23" s="3" t="s">
        <v>43</v>
      </c>
      <c r="B23" s="8">
        <f>IF(COUNT(I19:I22)&lt;4,"",AVERAGE(I19:I22))</f>
        <v>4.0934083108321291</v>
      </c>
      <c r="C23" s="3" t="s">
        <v>44</v>
      </c>
      <c r="D23" s="8">
        <f>IFERROR((B23-4)/(4-1),"")</f>
        <v>3.1136103610709693E-2</v>
      </c>
      <c r="E23" s="3" t="s">
        <v>46</v>
      </c>
      <c r="F23" s="10">
        <f>IFERROR(D23/0.9,"")</f>
        <v>3.4595670678566323E-2</v>
      </c>
      <c r="G23" t="str">
        <f>IF(F23="","заполните матрицу",IF(F23&lt;=0.1,"согласовано","CR &gt; 0,1: пересмотреть"))</f>
        <v>согласовано</v>
      </c>
    </row>
    <row r="30" spans="1:9" x14ac:dyDescent="0.3">
      <c r="A30" s="2" t="str">
        <f>"Альтернативы по критерию: "&amp;Справочник!$B$18</f>
        <v>Альтернативы по критерию: Простота реализации MVP</v>
      </c>
    </row>
    <row r="31" spans="1:9" ht="45" customHeight="1" x14ac:dyDescent="0.3">
      <c r="A31" s="4"/>
      <c r="B31" s="5" t="str">
        <f>Справочник!$B$10</f>
        <v>Бронь</v>
      </c>
      <c r="C31" s="5" t="str">
        <f>Справочник!$B$11</f>
        <v>Бюджет</v>
      </c>
      <c r="D31" s="5" t="str">
        <f>Справочник!$B$12</f>
        <v>Запись</v>
      </c>
      <c r="E31" s="5" t="str">
        <f>Справочник!$B$13</f>
        <v>Привычки</v>
      </c>
      <c r="F31" s="5" t="s">
        <v>39</v>
      </c>
      <c r="G31" s="5" t="s">
        <v>40</v>
      </c>
      <c r="H31" s="5" t="s">
        <v>41</v>
      </c>
      <c r="I31" s="5" t="s">
        <v>42</v>
      </c>
    </row>
    <row r="32" spans="1:9" x14ac:dyDescent="0.3">
      <c r="A32" s="3" t="str">
        <f>Справочник!$B$10</f>
        <v>Бронь</v>
      </c>
      <c r="B32" s="6">
        <v>1</v>
      </c>
      <c r="C32" s="7">
        <v>3</v>
      </c>
      <c r="D32" s="7">
        <v>2</v>
      </c>
      <c r="E32" s="7">
        <v>1</v>
      </c>
      <c r="F32" s="8">
        <f>IF(COUNT(B32:E32)&lt;4,"",GEOMEAN(B32:E32))</f>
        <v>1.5650845800732873</v>
      </c>
      <c r="G32" s="9">
        <f>IFERROR(F32/SUM($F$32:$F$35),"")</f>
        <v>0.36402350536132455</v>
      </c>
      <c r="H32" s="8">
        <f>IFERROR(B32*$G$32+C32*$G$33+D32*$G$34+E32*$G$35,"")</f>
        <v>1.4641565111553501</v>
      </c>
      <c r="I32" s="8">
        <f>IFERROR(H32/G32,"")</f>
        <v>4.0221482667775783</v>
      </c>
    </row>
    <row r="33" spans="1:9" x14ac:dyDescent="0.3">
      <c r="A33" s="3" t="str">
        <f>Справочник!$B$11</f>
        <v>Бюджет</v>
      </c>
      <c r="B33" s="8">
        <f>IF(C32="","",1/C32)</f>
        <v>0.33333333333333331</v>
      </c>
      <c r="C33" s="6">
        <v>1</v>
      </c>
      <c r="D33" s="7">
        <v>1</v>
      </c>
      <c r="E33" s="7">
        <v>0.33333333333333331</v>
      </c>
      <c r="F33" s="8">
        <f>IF(COUNT(B33:E33)&lt;4,"",GEOMEAN(B33:E33))</f>
        <v>0.57735026918962573</v>
      </c>
      <c r="G33" s="9">
        <f>IFERROR(F33/SUM($F$32:$F$35),"")</f>
        <v>0.13428607724310365</v>
      </c>
      <c r="H33" s="8">
        <f>IFERROR(B33*$G$32+C33*$G$33+D33*$G$34+E33*$G$35,"")</f>
        <v>0.55324695594149753</v>
      </c>
      <c r="I33" s="8">
        <f>IFERROR(H33/G33,"")</f>
        <v>4.1199130043834078</v>
      </c>
    </row>
    <row r="34" spans="1:9" x14ac:dyDescent="0.3">
      <c r="A34" s="3" t="str">
        <f>Справочник!$B$12</f>
        <v>Запись</v>
      </c>
      <c r="B34" s="8">
        <f>IF(D32="","",1/D32)</f>
        <v>0.5</v>
      </c>
      <c r="C34" s="8">
        <f>IF(D33="","",1/D33)</f>
        <v>1</v>
      </c>
      <c r="D34" s="6">
        <v>1</v>
      </c>
      <c r="E34" s="7">
        <v>1</v>
      </c>
      <c r="F34" s="8">
        <f>IF(COUNT(B34:E34)&lt;4,"",GEOMEAN(B34:E34))</f>
        <v>0.8408964152537145</v>
      </c>
      <c r="G34" s="9">
        <f>IFERROR(F34/SUM($F$32:$F$35),"")</f>
        <v>0.19558435666914264</v>
      </c>
      <c r="H34" s="8">
        <f>IFERROR(B34*$G$32+C34*$G$33+D34*$G$34+E34*$G$35,"")</f>
        <v>0.81798824731933784</v>
      </c>
      <c r="I34" s="8">
        <f>IFERROR(H34/G34,"")</f>
        <v>4.1822784871444263</v>
      </c>
    </row>
    <row r="35" spans="1:9" x14ac:dyDescent="0.3">
      <c r="A35" s="3" t="str">
        <f>Справочник!$B$13</f>
        <v>Привычки</v>
      </c>
      <c r="B35" s="8">
        <f>IF(E32="","",1/E32)</f>
        <v>1</v>
      </c>
      <c r="C35" s="8">
        <f>IF(E33="","",1/E33)</f>
        <v>3</v>
      </c>
      <c r="D35" s="8">
        <f>IF(E34="","",1/E34)</f>
        <v>1</v>
      </c>
      <c r="E35" s="6">
        <v>1</v>
      </c>
      <c r="F35" s="8">
        <f>IF(COUNT(B35:E35)&lt;4,"",GEOMEAN(B35:E35))</f>
        <v>1.3160740129524926</v>
      </c>
      <c r="G35" s="9">
        <f>IFERROR(F35/SUM($F$32:$F$35),"")</f>
        <v>0.30610606072642921</v>
      </c>
      <c r="H35" s="8">
        <f>IFERROR(B35*$G$32+C35*$G$33+D35*$G$34+E35*$G$35,"")</f>
        <v>1.2685721544862074</v>
      </c>
      <c r="I35" s="8">
        <f>IFERROR(H35/G35,"")</f>
        <v>4.1442242322014859</v>
      </c>
    </row>
    <row r="36" spans="1:9" x14ac:dyDescent="0.3">
      <c r="A36" s="3" t="s">
        <v>43</v>
      </c>
      <c r="B36" s="8">
        <f>IF(COUNT(I32:I35)&lt;4,"",AVERAGE(I32:I35))</f>
        <v>4.1171409976267253</v>
      </c>
      <c r="C36" s="3" t="s">
        <v>44</v>
      </c>
      <c r="D36" s="8">
        <f>IFERROR((B36-4)/(4-1),"")</f>
        <v>3.9046999208908417E-2</v>
      </c>
      <c r="E36" s="3" t="s">
        <v>46</v>
      </c>
      <c r="F36" s="10">
        <f>IFERROR(D36/0.9,"")</f>
        <v>4.3385554676564908E-2</v>
      </c>
      <c r="G36" t="str">
        <f>IF(F36="","заполните матрицу",IF(F36&lt;=0.1,"согласовано","CR &gt; 0,1: пересмотреть"))</f>
        <v>согласовано</v>
      </c>
    </row>
    <row r="43" spans="1:9" x14ac:dyDescent="0.3">
      <c r="A43" s="2" t="str">
        <f>"Альтернативы по критерию: "&amp;Справочник!$B$19</f>
        <v>Альтернативы по критерию: Пригодность для оценки и планирования</v>
      </c>
    </row>
    <row r="44" spans="1:9" ht="45" customHeight="1" x14ac:dyDescent="0.3">
      <c r="A44" s="4"/>
      <c r="B44" s="5" t="str">
        <f>Справочник!$B$10</f>
        <v>Бронь</v>
      </c>
      <c r="C44" s="5" t="str">
        <f>Справочник!$B$11</f>
        <v>Бюджет</v>
      </c>
      <c r="D44" s="5" t="str">
        <f>Справочник!$B$12</f>
        <v>Запись</v>
      </c>
      <c r="E44" s="5" t="str">
        <f>Справочник!$B$13</f>
        <v>Привычки</v>
      </c>
      <c r="F44" s="5" t="s">
        <v>39</v>
      </c>
      <c r="G44" s="5" t="s">
        <v>40</v>
      </c>
      <c r="H44" s="5" t="s">
        <v>41</v>
      </c>
      <c r="I44" s="5" t="s">
        <v>42</v>
      </c>
    </row>
    <row r="45" spans="1:9" x14ac:dyDescent="0.3">
      <c r="A45" s="3" t="str">
        <f>Справочник!$B$10</f>
        <v>Бронь</v>
      </c>
      <c r="B45" s="6">
        <v>1</v>
      </c>
      <c r="C45" s="7">
        <v>3</v>
      </c>
      <c r="D45" s="7">
        <v>0.5</v>
      </c>
      <c r="E45" s="7">
        <v>3</v>
      </c>
      <c r="F45" s="8">
        <f>IF(COUNT(B45:E45)&lt;4,"",GEOMEAN(B45:E45))</f>
        <v>1.4564753151219703</v>
      </c>
      <c r="G45" s="9">
        <f>IFERROR(F45/SUM($F$45:$F$48),"")</f>
        <v>0.29032191045159028</v>
      </c>
      <c r="H45" s="8">
        <f>IFERROR(B45*$G$45+C45*$G$46+D45*$G$47+E45*$G$48,"")</f>
        <v>1.1661235572288897</v>
      </c>
      <c r="I45" s="8">
        <f>IFERROR(H45/G45,"")</f>
        <v>4.0166570804628776</v>
      </c>
    </row>
    <row r="46" spans="1:9" x14ac:dyDescent="0.3">
      <c r="A46" s="3" t="str">
        <f>Справочник!$B$11</f>
        <v>Бюджет</v>
      </c>
      <c r="B46" s="8">
        <f>IF(C45="","",1/C45)</f>
        <v>0.33333333333333331</v>
      </c>
      <c r="C46" s="6">
        <v>1</v>
      </c>
      <c r="D46" s="7">
        <v>0.2</v>
      </c>
      <c r="E46" s="7">
        <v>1</v>
      </c>
      <c r="F46" s="8">
        <f>IF(COUNT(B46:E46)&lt;4,"",GEOMEAN(B46:E46))</f>
        <v>0.50813274815461473</v>
      </c>
      <c r="G46" s="9">
        <f>IFERROR(F46/SUM($F$45:$F$48),"")</f>
        <v>0.10128703773802752</v>
      </c>
      <c r="H46" s="8">
        <f>IFERROR(B46*$G$45+C46*$G$46+D46*$G$47+E46*$G$48,"")</f>
        <v>0.4054176207012023</v>
      </c>
      <c r="I46" s="8">
        <f>IFERROR(H46/G46,"")</f>
        <v>4.002660456412884</v>
      </c>
    </row>
    <row r="47" spans="1:9" x14ac:dyDescent="0.3">
      <c r="A47" s="3" t="str">
        <f>Справочник!$B$12</f>
        <v>Запись</v>
      </c>
      <c r="B47" s="8">
        <f>IF(D45="","",1/D45)</f>
        <v>2</v>
      </c>
      <c r="C47" s="8">
        <f>IF(D46="","",1/D46)</f>
        <v>5</v>
      </c>
      <c r="D47" s="6">
        <v>1</v>
      </c>
      <c r="E47" s="7">
        <v>4</v>
      </c>
      <c r="F47" s="8">
        <f>IF(COUNT(B47:E47)&lt;4,"",GEOMEAN(B47:E47))</f>
        <v>2.514866859365871</v>
      </c>
      <c r="G47" s="9">
        <f>IFERROR(F47/SUM($F$45:$F$48),"")</f>
        <v>0.50129304874717195</v>
      </c>
      <c r="H47" s="8">
        <f>IFERROR(B47*$G$45+C47*$G$46+D47*$G$47+E47*$G$48,"")</f>
        <v>2.0167640705933314</v>
      </c>
      <c r="I47" s="8">
        <f>IFERROR(H47/G47,"")</f>
        <v>4.0231239504190492</v>
      </c>
    </row>
    <row r="48" spans="1:9" x14ac:dyDescent="0.3">
      <c r="A48" s="3" t="str">
        <f>Справочник!$B$13</f>
        <v>Привычки</v>
      </c>
      <c r="B48" s="8">
        <f>IF(E45="","",1/E45)</f>
        <v>0.33333333333333331</v>
      </c>
      <c r="C48" s="8">
        <f>IF(E46="","",1/E46)</f>
        <v>1</v>
      </c>
      <c r="D48" s="8">
        <f>IF(E47="","",1/E47)</f>
        <v>0.25</v>
      </c>
      <c r="E48" s="6">
        <v>1</v>
      </c>
      <c r="F48" s="8">
        <f>IF(COUNT(B48:E48)&lt;4,"",GEOMEAN(B48:E48))</f>
        <v>0.537284965911771</v>
      </c>
      <c r="G48" s="9">
        <f>IFERROR(F48/SUM($F$45:$F$48),"")</f>
        <v>0.10709800306321027</v>
      </c>
      <c r="H48" s="8">
        <f>IFERROR(B48*$G$45+C48*$G$46+D48*$G$47+E48*$G$48,"")</f>
        <v>0.43048227313856091</v>
      </c>
      <c r="I48" s="8">
        <f>IFERROR(H48/G48,"")</f>
        <v>4.0195172722733785</v>
      </c>
    </row>
    <row r="49" spans="1:9" x14ac:dyDescent="0.3">
      <c r="A49" s="3" t="s">
        <v>43</v>
      </c>
      <c r="B49" s="8">
        <f>IF(COUNT(I45:I48)&lt;4,"",AVERAGE(I45:I48))</f>
        <v>4.0154896898920471</v>
      </c>
      <c r="C49" s="3" t="s">
        <v>44</v>
      </c>
      <c r="D49" s="8">
        <f>IFERROR((B49-4)/(4-1),"")</f>
        <v>5.1632299640157102E-3</v>
      </c>
      <c r="E49" s="3" t="s">
        <v>46</v>
      </c>
      <c r="F49" s="10">
        <f>IFERROR(D49/0.9,"")</f>
        <v>5.7369221822396775E-3</v>
      </c>
      <c r="G49" t="str">
        <f>IF(F49="","заполните матрицу",IF(F49&lt;=0.1,"согласовано","CR &gt; 0,1: пересмотреть"))</f>
        <v>согласовано</v>
      </c>
    </row>
    <row r="56" spans="1:9" x14ac:dyDescent="0.3">
      <c r="A56" s="2" t="str">
        <f>"Альтернативы по критерию: "&amp;Справочник!$B$20</f>
        <v>Альтернативы по критерию: Потенциал монетизации</v>
      </c>
    </row>
    <row r="57" spans="1:9" ht="45" customHeight="1" x14ac:dyDescent="0.3">
      <c r="A57" s="4"/>
      <c r="B57" s="5" t="str">
        <f>Справочник!$B$10</f>
        <v>Бронь</v>
      </c>
      <c r="C57" s="5" t="str">
        <f>Справочник!$B$11</f>
        <v>Бюджет</v>
      </c>
      <c r="D57" s="5" t="str">
        <f>Справочник!$B$12</f>
        <v>Запись</v>
      </c>
      <c r="E57" s="5" t="str">
        <f>Справочник!$B$13</f>
        <v>Привычки</v>
      </c>
      <c r="F57" s="5" t="s">
        <v>39</v>
      </c>
      <c r="G57" s="5" t="s">
        <v>40</v>
      </c>
      <c r="H57" s="5" t="s">
        <v>41</v>
      </c>
      <c r="I57" s="5" t="s">
        <v>42</v>
      </c>
    </row>
    <row r="58" spans="1:9" x14ac:dyDescent="0.3">
      <c r="A58" s="3" t="str">
        <f>Справочник!$B$10</f>
        <v>Бронь</v>
      </c>
      <c r="B58" s="6">
        <v>1</v>
      </c>
      <c r="C58" s="7">
        <v>1</v>
      </c>
      <c r="D58" s="7">
        <v>0.25</v>
      </c>
      <c r="E58" s="7">
        <v>2</v>
      </c>
      <c r="F58" s="8">
        <f>IF(COUNT(B58:E58)&lt;4,"",GEOMEAN(B58:E58))</f>
        <v>0.8408964152537145</v>
      </c>
      <c r="G58" s="9">
        <f>IFERROR(F58/SUM($F$58:$F$61),"")</f>
        <v>0.16783622730414599</v>
      </c>
      <c r="H58" s="8">
        <f>IFERROR(B58*$G$58+C58*$G$59+D58*$G$60+E58*$G$61,"")</f>
        <v>0.67639737216336038</v>
      </c>
      <c r="I58" s="8">
        <f>IFERROR(H58/G58,"")</f>
        <v>4.0301035302564356</v>
      </c>
    </row>
    <row r="59" spans="1:9" x14ac:dyDescent="0.3">
      <c r="A59" s="3" t="str">
        <f>Справочник!$B$11</f>
        <v>Бюджет</v>
      </c>
      <c r="B59" s="8">
        <f>IF(C58="","",1/C58)</f>
        <v>1</v>
      </c>
      <c r="C59" s="6">
        <v>1</v>
      </c>
      <c r="D59" s="7">
        <v>0.25</v>
      </c>
      <c r="E59" s="7">
        <v>2</v>
      </c>
      <c r="F59" s="8">
        <f>IF(COUNT(B59:E59)&lt;4,"",GEOMEAN(B59:E59))</f>
        <v>0.8408964152537145</v>
      </c>
      <c r="G59" s="9">
        <f>IFERROR(F59/SUM($F$58:$F$61),"")</f>
        <v>0.16783622730414599</v>
      </c>
      <c r="H59" s="8">
        <f>IFERROR(B59*$G$58+C59*$G$59+D59*$G$60+E59*$G$61,"")</f>
        <v>0.67639737216336038</v>
      </c>
      <c r="I59" s="8">
        <f>IFERROR(H59/G59,"")</f>
        <v>4.0301035302564356</v>
      </c>
    </row>
    <row r="60" spans="1:9" x14ac:dyDescent="0.3">
      <c r="A60" s="3" t="str">
        <f>Справочник!$B$12</f>
        <v>Запись</v>
      </c>
      <c r="B60" s="8">
        <f>IF(D58="","",1/D58)</f>
        <v>4</v>
      </c>
      <c r="C60" s="8">
        <f>IF(D59="","",1/D59)</f>
        <v>4</v>
      </c>
      <c r="D60" s="6">
        <v>1</v>
      </c>
      <c r="E60" s="7">
        <v>4</v>
      </c>
      <c r="F60" s="8">
        <f>IF(COUNT(B60:E60)&lt;4,"",GEOMEAN(B60:E60))</f>
        <v>2.8284271247461898</v>
      </c>
      <c r="G60" s="9">
        <f>IFERROR(F60/SUM($F$58:$F$61),"")</f>
        <v>0.56453152755905589</v>
      </c>
      <c r="H60" s="8">
        <f>IFERROR(B60*$G$58+C60*$G$59+D60*$G$60+E60*$G$61,"")</f>
        <v>2.3064054173228326</v>
      </c>
      <c r="I60" s="8">
        <f>IFERROR(H60/G60,"")</f>
        <v>4.0855210111919895</v>
      </c>
    </row>
    <row r="61" spans="1:9" x14ac:dyDescent="0.3">
      <c r="A61" s="3" t="str">
        <f>Справочник!$B$13</f>
        <v>Привычки</v>
      </c>
      <c r="B61" s="8">
        <f>IF(E58="","",1/E58)</f>
        <v>0.5</v>
      </c>
      <c r="C61" s="8">
        <f>IF(E59="","",1/E59)</f>
        <v>0.5</v>
      </c>
      <c r="D61" s="8">
        <f>IF(E60="","",1/E60)</f>
        <v>0.25</v>
      </c>
      <c r="E61" s="6">
        <v>1</v>
      </c>
      <c r="F61" s="8">
        <f>IF(COUNT(B61:E61)&lt;4,"",GEOMEAN(B61:E61))</f>
        <v>0.5</v>
      </c>
      <c r="G61" s="9">
        <f>IFERROR(F61/SUM($F$58:$F$61),"")</f>
        <v>9.9796017832652198E-2</v>
      </c>
      <c r="H61" s="8">
        <f>IFERROR(B61*$G$58+C61*$G$59+D61*$G$60+E61*$G$61,"")</f>
        <v>0.40876512702656215</v>
      </c>
      <c r="I61" s="8">
        <f>IFERROR(H61/G61,"")</f>
        <v>4.0960063928805237</v>
      </c>
    </row>
    <row r="62" spans="1:9" x14ac:dyDescent="0.3">
      <c r="A62" s="3" t="s">
        <v>43</v>
      </c>
      <c r="B62" s="8">
        <f>IF(COUNT(I58:I61)&lt;4,"",AVERAGE(I58:I61))</f>
        <v>4.0604336161463461</v>
      </c>
      <c r="C62" s="3" t="s">
        <v>44</v>
      </c>
      <c r="D62" s="8">
        <f>IFERROR((B62-4)/(4-1),"")</f>
        <v>2.0144538715448707E-2</v>
      </c>
      <c r="E62" s="3" t="s">
        <v>46</v>
      </c>
      <c r="F62" s="10">
        <f>IFERROR(D62/0.9,"")</f>
        <v>2.2382820794943008E-2</v>
      </c>
      <c r="G62" t="str">
        <f>IF(F62="","заполните матрицу",IF(F62&lt;=0.1,"согласовано","CR &gt; 0,1: пересмотреть"))</f>
        <v>согласовано</v>
      </c>
    </row>
    <row r="69" spans="1:9" x14ac:dyDescent="0.3">
      <c r="A69" s="2" t="str">
        <f>"Альтернативы по критерию: "&amp;Справочник!$B$21</f>
        <v>Альтернативы по критерию: Интерес и экспертиза команды</v>
      </c>
    </row>
    <row r="70" spans="1:9" ht="45" customHeight="1" x14ac:dyDescent="0.3">
      <c r="A70" s="4"/>
      <c r="B70" s="5" t="str">
        <f>Справочник!$B$10</f>
        <v>Бронь</v>
      </c>
      <c r="C70" s="5" t="str">
        <f>Справочник!$B$11</f>
        <v>Бюджет</v>
      </c>
      <c r="D70" s="5" t="str">
        <f>Справочник!$B$12</f>
        <v>Запись</v>
      </c>
      <c r="E70" s="5" t="str">
        <f>Справочник!$B$13</f>
        <v>Привычки</v>
      </c>
      <c r="F70" s="5" t="s">
        <v>39</v>
      </c>
      <c r="G70" s="5" t="s">
        <v>40</v>
      </c>
      <c r="H70" s="5" t="s">
        <v>41</v>
      </c>
      <c r="I70" s="5" t="s">
        <v>42</v>
      </c>
    </row>
    <row r="71" spans="1:9" x14ac:dyDescent="0.3">
      <c r="A71" s="3" t="str">
        <f>Справочник!$B$10</f>
        <v>Бронь</v>
      </c>
      <c r="B71" s="6">
        <v>1</v>
      </c>
      <c r="C71" s="7">
        <v>1</v>
      </c>
      <c r="D71" s="7">
        <v>1</v>
      </c>
      <c r="E71" s="7">
        <v>3</v>
      </c>
      <c r="F71" s="8">
        <f>IF(COUNT(B71:E71)&lt;4,"",GEOMEAN(B71:E71))</f>
        <v>1.3160740129524926</v>
      </c>
      <c r="G71" s="9">
        <f>IFERROR(F71/SUM($F$71:$F$74),"")</f>
        <v>0.30838937129605404</v>
      </c>
      <c r="H71" s="8">
        <f>IFERROR(B71*$G$71+C71*$G$72+D71*$G$73+E71*$G$74,"")</f>
        <v>1.2517988672576792</v>
      </c>
      <c r="I71" s="8">
        <f>IFERROR(H71/G71,"")</f>
        <v>4.0591504888667229</v>
      </c>
    </row>
    <row r="72" spans="1:9" x14ac:dyDescent="0.3">
      <c r="A72" s="3" t="str">
        <f>Справочник!$B$11</f>
        <v>Бюджет</v>
      </c>
      <c r="B72" s="8">
        <f>IF(C71="","",1/C71)</f>
        <v>1</v>
      </c>
      <c r="C72" s="6">
        <v>1</v>
      </c>
      <c r="D72" s="7">
        <v>2</v>
      </c>
      <c r="E72" s="7">
        <v>2</v>
      </c>
      <c r="F72" s="8">
        <f>IF(COUNT(B72:E72)&lt;4,"",GEOMEAN(B72:E72))</f>
        <v>1.4142135623730949</v>
      </c>
      <c r="G72" s="9">
        <f>IFERROR(F72/SUM($F$71:$F$74),"")</f>
        <v>0.33138594568870566</v>
      </c>
      <c r="H72" s="8">
        <f>IFERROR(B72*$G$71+C72*$G$72+D72*$G$73+E72*$G$74,"")</f>
        <v>1.3602246830152405</v>
      </c>
      <c r="I72" s="8">
        <f>IFERROR(H72/G72,"")</f>
        <v>4.1046541071267884</v>
      </c>
    </row>
    <row r="73" spans="1:9" x14ac:dyDescent="0.3">
      <c r="A73" s="3" t="str">
        <f>Справочник!$B$12</f>
        <v>Запись</v>
      </c>
      <c r="B73" s="8">
        <f>IF(D71="","",1/D71)</f>
        <v>1</v>
      </c>
      <c r="C73" s="8">
        <f>IF(D72="","",1/D72)</f>
        <v>0.5</v>
      </c>
      <c r="D73" s="6">
        <v>1</v>
      </c>
      <c r="E73" s="7">
        <v>2</v>
      </c>
      <c r="F73" s="8">
        <f>IF(COUNT(B73:E73)&lt;4,"",GEOMEAN(B73:E73))</f>
        <v>1</v>
      </c>
      <c r="G73" s="9">
        <f>IFERROR(F73/SUM($F$71:$F$74),"")</f>
        <v>0.23432524938640076</v>
      </c>
      <c r="H73" s="8">
        <f>IFERROR(B73*$G$71+C73*$G$72+D73*$G$73+E73*$G$74,"")</f>
        <v>0.96020646078448668</v>
      </c>
      <c r="I73" s="8">
        <f>IFERROR(H73/G73,"")</f>
        <v>4.0977507259625812</v>
      </c>
    </row>
    <row r="74" spans="1:9" x14ac:dyDescent="0.3">
      <c r="A74" s="3" t="str">
        <f>Справочник!$B$13</f>
        <v>Привычки</v>
      </c>
      <c r="B74" s="8">
        <f>IF(E71="","",1/E71)</f>
        <v>0.33333333333333331</v>
      </c>
      <c r="C74" s="8">
        <f>IF(E72="","",1/E72)</f>
        <v>0.5</v>
      </c>
      <c r="D74" s="8">
        <f>IF(E73="","",1/E73)</f>
        <v>0.5</v>
      </c>
      <c r="E74" s="6">
        <v>1</v>
      </c>
      <c r="F74" s="8">
        <f>IF(COUNT(B74:E74)&lt;4,"",GEOMEAN(B74:E74))</f>
        <v>0.537284965911771</v>
      </c>
      <c r="G74" s="9">
        <f>IFERROR(F74/SUM($F$71:$F$74),"")</f>
        <v>0.12589943362883957</v>
      </c>
      <c r="H74" s="8">
        <f>IFERROR(B74*$G$71+C74*$G$72+D74*$G$73+E74*$G$74,"")</f>
        <v>0.51155148826507746</v>
      </c>
      <c r="I74" s="8">
        <f>IFERROR(H74/G74,"")</f>
        <v>4.0631754529823176</v>
      </c>
    </row>
    <row r="75" spans="1:9" x14ac:dyDescent="0.3">
      <c r="A75" s="3" t="s">
        <v>43</v>
      </c>
      <c r="B75" s="8">
        <f>IF(COUNT(I71:I74)&lt;4,"",AVERAGE(I71:I74))</f>
        <v>4.0811826937346023</v>
      </c>
      <c r="C75" s="3" t="s">
        <v>44</v>
      </c>
      <c r="D75" s="8">
        <f>IFERROR((B75-4)/(4-1),"")</f>
        <v>2.7060897911534099E-2</v>
      </c>
      <c r="E75" s="3" t="s">
        <v>46</v>
      </c>
      <c r="F75" s="10">
        <f>IFERROR(D75/0.9,"")</f>
        <v>3.0067664346148999E-2</v>
      </c>
      <c r="G75" t="str">
        <f>IF(F75="","заполните матрицу",IF(F75&lt;=0.1,"согласовано","CR &gt; 0,1: пересмотреть"))</f>
        <v>согласовано</v>
      </c>
    </row>
  </sheetData>
  <dataValidations count="1">
    <dataValidation type="decimal" showErrorMessage="1" error="Число от 1/9 до 9 (обратные вводить формулой, например =1/3)" sqref="C6 C19 C32 C45 C58 C71 D6 D7 D19 D20 D32 D33 D45 D46 D58 D59 D71 D72 E6 E7 E8 E19 E20 E21 E32 E33 E34 E45 E46 E47 E58 E59 E60 E71 E72 E73 F6 F7 F8 F9" xr:uid="{00000000-0002-0000-0300-000000000000}">
      <formula1>0.111</formula1>
      <formula2>9</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1"/>
  <sheetViews>
    <sheetView workbookViewId="0"/>
  </sheetViews>
  <sheetFormatPr defaultRowHeight="14.4" x14ac:dyDescent="0.3"/>
  <cols>
    <col min="1" max="1" width="32" customWidth="1"/>
    <col min="2" max="11" width="13" customWidth="1"/>
  </cols>
  <sheetData>
    <row r="1" spans="1:10" ht="17.399999999999999" x14ac:dyDescent="0.35">
      <c r="A1" s="1" t="s">
        <v>47</v>
      </c>
    </row>
    <row r="2" spans="1:10" x14ac:dyDescent="0.3">
      <c r="A2" t="s">
        <v>48</v>
      </c>
    </row>
    <row r="4" spans="1:10" x14ac:dyDescent="0.3">
      <c r="A4" s="2" t="s">
        <v>38</v>
      </c>
    </row>
    <row r="5" spans="1:10" ht="45" customHeight="1" x14ac:dyDescent="0.3">
      <c r="A5" s="4"/>
      <c r="B5" s="5" t="str">
        <f>Справочник!$B$17</f>
        <v>Востребованность</v>
      </c>
      <c r="C5" s="5" t="str">
        <f>Справочник!$B$18</f>
        <v>Простота реализации MVP</v>
      </c>
      <c r="D5" s="5" t="str">
        <f>Справочник!$B$19</f>
        <v>Пригодность для оценки и планирования</v>
      </c>
      <c r="E5" s="5" t="str">
        <f>Справочник!$B$20</f>
        <v>Потенциал монетизации</v>
      </c>
      <c r="F5" s="5" t="str">
        <f>Справочник!$B$21</f>
        <v>Интерес и экспертиза команды</v>
      </c>
      <c r="G5" s="5" t="s">
        <v>39</v>
      </c>
      <c r="H5" s="5" t="s">
        <v>40</v>
      </c>
      <c r="I5" s="5" t="s">
        <v>41</v>
      </c>
      <c r="J5" s="5" t="s">
        <v>42</v>
      </c>
    </row>
    <row r="6" spans="1:10" x14ac:dyDescent="0.3">
      <c r="A6" s="3" t="str">
        <f>Справочник!$B$17</f>
        <v>Востребованность</v>
      </c>
      <c r="B6" s="6">
        <f>IF(COUNT(Эксперт1!B6,Эксперт2!B6,Эксперт3!B6)&lt;3,"",GEOMEAN(Эксперт1!B6,Эксперт2!B6,Эксперт3!B6))</f>
        <v>1</v>
      </c>
      <c r="C6" s="8">
        <f>IF(COUNT(Эксперт1!C6,Эксперт2!C6,Эксперт3!C6)&lt;3,"",GEOMEAN(Эксперт1!C6,Эксперт2!C6,Эксперт3!C6))</f>
        <v>0.5</v>
      </c>
      <c r="D6" s="8">
        <f>IF(COUNT(Эксперт1!D6,Эксперт2!D6,Эксперт3!D6)&lt;3,"",GEOMEAN(Эксперт1!D6,Эксперт2!D6,Эксперт3!D6))</f>
        <v>0.36840314986403866</v>
      </c>
      <c r="E6" s="8">
        <f>IF(COUNT(Эксперт1!E6,Эксперт2!E6,Эксперт3!E6)&lt;3,"",GEOMEAN(Эксперт1!E6,Эксперт2!E6,Эксперт3!E6))</f>
        <v>2</v>
      </c>
      <c r="F6" s="8">
        <f>IF(COUNT(Эксперт1!F6,Эксперт2!F6,Эксперт3!F6)&lt;3,"",GEOMEAN(Эксперт1!F6,Эксперт2!F6,Эксперт3!F6))</f>
        <v>1</v>
      </c>
      <c r="G6" s="8">
        <f>IF(COUNT(B6:F6)&lt;5,"",GEOMEAN(B6:F6))</f>
        <v>0.81896372747791535</v>
      </c>
      <c r="H6" s="9">
        <f>IFERROR(G6/SUM($G$6:$G$10),"")</f>
        <v>0.14236176925832433</v>
      </c>
      <c r="I6" s="8">
        <f>IFERROR(B6*$H$6+C6*$H$7+D6*$H$8+E6*$H$9+F6*$H$10,"")</f>
        <v>0.71669951406684129</v>
      </c>
      <c r="J6" s="8">
        <f>IFERROR(I6/H6,"")</f>
        <v>5.034353800185956</v>
      </c>
    </row>
    <row r="7" spans="1:10" x14ac:dyDescent="0.3">
      <c r="A7" s="3" t="str">
        <f>Справочник!$B$18</f>
        <v>Простота реализации MVP</v>
      </c>
      <c r="B7" s="8">
        <f>IF(COUNT(Эксперт1!B7,Эксперт2!B7,Эксперт3!B7)&lt;3,"",GEOMEAN(Эксперт1!B7,Эксперт2!B7,Эксперт3!B7))</f>
        <v>2</v>
      </c>
      <c r="C7" s="6">
        <f>IF(COUNT(Эксперт1!C7,Эксперт2!C7,Эксперт3!C7)&lt;3,"",GEOMEAN(Эксперт1!C7,Эксперт2!C7,Эксперт3!C7))</f>
        <v>1</v>
      </c>
      <c r="D7" s="8">
        <f>IF(COUNT(Эксперт1!D7,Эксперт2!D7,Эксперт3!D7)&lt;3,"",GEOMEAN(Эксперт1!D7,Эксперт2!D7,Эксперт3!D7))</f>
        <v>0.43088693800637679</v>
      </c>
      <c r="E7" s="8">
        <f>IF(COUNT(Эксперт1!E7,Эксперт2!E7,Эксперт3!E7)&lt;3,"",GEOMEAN(Эксперт1!E7,Эксперт2!E7,Эксперт3!E7))</f>
        <v>2.6207413942088964</v>
      </c>
      <c r="F7" s="8">
        <f>IF(COUNT(Эксперт1!F7,Эксперт2!F7,Эксперт3!F7)&lt;3,"",GEOMEAN(Эксперт1!F7,Эксперт2!F7,Эксперт3!F7))</f>
        <v>2</v>
      </c>
      <c r="G7" s="8">
        <f>IF(COUNT(B7:F7)&lt;5,"",GEOMEAN(B7:F7))</f>
        <v>1.3519776049937393</v>
      </c>
      <c r="H7" s="9">
        <f>IFERROR(G7/SUM($G$6:$G$10),"")</f>
        <v>0.23501642061397757</v>
      </c>
      <c r="I7" s="8">
        <f>IFERROR(B7*$H$6+C7*$H$7+D7*$H$8+E7*$H$9+F7*$H$10,"")</f>
        <v>1.1947583214036783</v>
      </c>
      <c r="J7" s="8">
        <f>IFERROR(I7/H7,"")</f>
        <v>5.0837227385319999</v>
      </c>
    </row>
    <row r="8" spans="1:10" x14ac:dyDescent="0.3">
      <c r="A8" s="3" t="str">
        <f>Справочник!$B$19</f>
        <v>Пригодность для оценки и планирования</v>
      </c>
      <c r="B8" s="8">
        <f>IF(COUNT(Эксперт1!B8,Эксперт2!B8,Эксперт3!B8)&lt;3,"",GEOMEAN(Эксперт1!B8,Эксперт2!B8,Эксперт3!B8))</f>
        <v>2.7144176165949068</v>
      </c>
      <c r="C8" s="8">
        <f>IF(COUNT(Эксперт1!C8,Эксперт2!C8,Эксперт3!C8)&lt;3,"",GEOMEAN(Эксперт1!C8,Эксперт2!C8,Эксперт3!C8))</f>
        <v>2.3207944168063896</v>
      </c>
      <c r="D8" s="6">
        <f>IF(COUNT(Эксперт1!D8,Эксперт2!D8,Эксперт3!D8)&lt;3,"",GEOMEAN(Эксперт1!D8,Эксперт2!D8,Эксперт3!D8))</f>
        <v>1</v>
      </c>
      <c r="E8" s="8">
        <f>IF(COUNT(Эксперт1!E8,Эксперт2!E8,Эксперт3!E8)&lt;3,"",GEOMEAN(Эксперт1!E8,Эксперт2!E8,Эксперт3!E8))</f>
        <v>4.3088693800637676</v>
      </c>
      <c r="F8" s="8">
        <f>IF(COUNT(Эксперт1!F8,Эксперт2!F8,Эксперт3!F8)&lt;3,"",GEOMEAN(Эксперт1!F8,Эксперт2!F8,Эксперт3!F8))</f>
        <v>2.2894284851066637</v>
      </c>
      <c r="G8" s="8">
        <f>IF(COUNT(B8:F8)&lt;5,"",GEOMEAN(B8:F8))</f>
        <v>2.2839192735102438</v>
      </c>
      <c r="H8" s="9">
        <f>IFERROR(G8/SUM($G$6:$G$10),"")</f>
        <v>0.39701732532332823</v>
      </c>
      <c r="I8" s="8">
        <f>IFERROR(B8*$H$6+C8*$H$7+D8*$H$8+E8*$H$9+F8*$H$10,"")</f>
        <v>2.0169537327229268</v>
      </c>
      <c r="J8" s="8">
        <f>IFERROR(I8/H8,"")</f>
        <v>5.0802662858109109</v>
      </c>
    </row>
    <row r="9" spans="1:10" x14ac:dyDescent="0.3">
      <c r="A9" s="3" t="str">
        <f>Справочник!$B$20</f>
        <v>Потенциал монетизации</v>
      </c>
      <c r="B9" s="8">
        <f>IF(COUNT(Эксперт1!B9,Эксперт2!B9,Эксперт3!B9)&lt;3,"",GEOMEAN(Эксперт1!B9,Эксперт2!B9,Эксперт3!B9))</f>
        <v>0.5</v>
      </c>
      <c r="C9" s="8">
        <f>IF(COUNT(Эксперт1!C9,Эксперт2!C9,Эксперт3!C9)&lt;3,"",GEOMEAN(Эксперт1!C9,Эксперт2!C9,Эксперт3!C9))</f>
        <v>0.38157141418444396</v>
      </c>
      <c r="D9" s="8">
        <f>IF(COUNT(Эксперт1!D9,Эксперт2!D9,Эксперт3!D9)&lt;3,"",GEOMEAN(Эксперт1!D9,Эксперт2!D9,Эксперт3!D9))</f>
        <v>0.23207944168063896</v>
      </c>
      <c r="E9" s="6">
        <f>IF(COUNT(Эксперт1!E9,Эксперт2!E9,Эксперт3!E9)&lt;3,"",GEOMEAN(Эксперт1!E9,Эксперт2!E9,Эксперт3!E9))</f>
        <v>1</v>
      </c>
      <c r="F9" s="8">
        <f>IF(COUNT(Эксперт1!F9,Эксперт2!F9,Эксперт3!F9)&lt;3,"",GEOMEAN(Эксперт1!F9,Эксперт2!F9,Эксперт3!F9))</f>
        <v>0.6299605249474366</v>
      </c>
      <c r="G9" s="8">
        <f>IF(COUNT(B9:F9)&lt;5,"",GEOMEAN(B9:F9))</f>
        <v>0.48876395302988473</v>
      </c>
      <c r="H9" s="9">
        <f>IFERROR(G9/SUM($G$6:$G$10),"")</f>
        <v>8.4962616497448337E-2</v>
      </c>
      <c r="I9" s="8">
        <f>IFERROR(B9*$H$6+C9*$H$7+D9*$H$8+E9*$H$9+F9*$H$10,"")</f>
        <v>0.42655743348364722</v>
      </c>
      <c r="J9" s="8">
        <f>IFERROR(I9/H9,"")</f>
        <v>5.0205308059981641</v>
      </c>
    </row>
    <row r="10" spans="1:10" x14ac:dyDescent="0.3">
      <c r="A10" s="3" t="str">
        <f>Справочник!$B$21</f>
        <v>Интерес и экспертиза команды</v>
      </c>
      <c r="B10" s="8">
        <f>IF(COUNT(Эксперт1!B10,Эксперт2!B10,Эксперт3!B10)&lt;3,"",GEOMEAN(Эксперт1!B10,Эксперт2!B10,Эксперт3!B10))</f>
        <v>1</v>
      </c>
      <c r="C10" s="8">
        <f>IF(COUNT(Эксперт1!C10,Эксперт2!C10,Эксперт3!C10)&lt;3,"",GEOMEAN(Эксперт1!C10,Эксперт2!C10,Эксперт3!C10))</f>
        <v>0.5</v>
      </c>
      <c r="D10" s="8">
        <f>IF(COUNT(Эксперт1!D10,Эксперт2!D10,Эксперт3!D10)&lt;3,"",GEOMEAN(Эксперт1!D10,Эксперт2!D10,Эксперт3!D10))</f>
        <v>0.43679023236814946</v>
      </c>
      <c r="E10" s="8">
        <f>IF(COUNT(Эксперт1!E10,Эксперт2!E10,Эксперт3!E10)&lt;3,"",GEOMEAN(Эксперт1!E10,Эксперт2!E10,Эксперт3!E10))</f>
        <v>1.5874010519681994</v>
      </c>
      <c r="F10" s="6">
        <f>IF(COUNT(Эксперт1!F10,Эксперт2!F10,Эксперт3!F10)&lt;3,"",GEOMEAN(Эксперт1!F10,Эксперт2!F10,Эксперт3!F10))</f>
        <v>1</v>
      </c>
      <c r="G10" s="8">
        <f>IF(COUNT(B10:F10)&lt;5,"",GEOMEAN(B10:F10))</f>
        <v>0.80906966321198359</v>
      </c>
      <c r="H10" s="9">
        <f>IFERROR(G10/SUM($G$6:$G$10),"")</f>
        <v>0.14064186830692157</v>
      </c>
      <c r="I10" s="8">
        <f>IFERROR(B10*$H$6+C10*$H$7+D10*$H$8+E10*$H$9+F10*$H$10,"")</f>
        <v>0.70879488446041261</v>
      </c>
      <c r="J10" s="8">
        <f>IFERROR(I10/H10,"")</f>
        <v>5.039714652493207</v>
      </c>
    </row>
    <row r="11" spans="1:10" x14ac:dyDescent="0.3">
      <c r="A11" s="3" t="s">
        <v>43</v>
      </c>
      <c r="B11" s="8">
        <f>IF(COUNT(J6:J10)&lt;5,"",AVERAGE(J6:J10))</f>
        <v>5.0517176566040476</v>
      </c>
      <c r="C11" s="3" t="s">
        <v>44</v>
      </c>
      <c r="D11" s="8">
        <f>IFERROR((B11-5)/(5-1),"")</f>
        <v>1.2929414151011898E-2</v>
      </c>
      <c r="E11" s="3" t="s">
        <v>45</v>
      </c>
      <c r="F11" s="10">
        <f>IFERROR(D11/1.12,"")</f>
        <v>1.1544119777689193E-2</v>
      </c>
      <c r="G11" t="str">
        <f>IF(F11="","заполните матрицу",IF(F11&lt;=0.1,"согласовано","CR &gt; 0,1: пересмотреть"))</f>
        <v>согласовано</v>
      </c>
    </row>
    <row r="17" spans="1:9" x14ac:dyDescent="0.3">
      <c r="A17" s="2" t="str">
        <f>"Альтернативы по критерию: "&amp;Справочник!$B$17</f>
        <v>Альтернативы по критерию: Востребованность</v>
      </c>
    </row>
    <row r="18" spans="1:9" ht="45" customHeight="1" x14ac:dyDescent="0.3">
      <c r="A18" s="4"/>
      <c r="B18" s="5" t="str">
        <f>Справочник!$B$10</f>
        <v>Бронь</v>
      </c>
      <c r="C18" s="5" t="str">
        <f>Справочник!$B$11</f>
        <v>Бюджет</v>
      </c>
      <c r="D18" s="5" t="str">
        <f>Справочник!$B$12</f>
        <v>Запись</v>
      </c>
      <c r="E18" s="5" t="str">
        <f>Справочник!$B$13</f>
        <v>Привычки</v>
      </c>
      <c r="F18" s="5" t="s">
        <v>39</v>
      </c>
      <c r="G18" s="5" t="s">
        <v>40</v>
      </c>
      <c r="H18" s="5" t="s">
        <v>41</v>
      </c>
      <c r="I18" s="5" t="s">
        <v>42</v>
      </c>
    </row>
    <row r="19" spans="1:9" x14ac:dyDescent="0.3">
      <c r="A19" s="3" t="str">
        <f>Справочник!$B$10</f>
        <v>Бронь</v>
      </c>
      <c r="B19" s="6">
        <f>IF(COUNT(Эксперт1!B19,Эксперт2!B19,Эксперт3!B19)&lt;3,"",GEOMEAN(Эксперт1!B19,Эксперт2!B19,Эксперт3!B19))</f>
        <v>1</v>
      </c>
      <c r="C19" s="8">
        <f>IF(COUNT(Эксперт1!C19,Эксперт2!C19,Эксперт3!C19)&lt;3,"",GEOMEAN(Эксперт1!C19,Эксперт2!C19,Эксперт3!C19))</f>
        <v>0.79370052598409979</v>
      </c>
      <c r="D19" s="8">
        <f>IF(COUNT(Эксперт1!D19,Эксперт2!D19,Эксперт3!D19)&lt;3,"",GEOMEAN(Эксперт1!D19,Эксперт2!D19,Эксперт3!D19))</f>
        <v>0.31072325059538586</v>
      </c>
      <c r="E19" s="8">
        <f>IF(COUNT(Эксперт1!E19,Эксперт2!E19,Эксперт3!E19)&lt;3,"",GEOMEAN(Эксперт1!E19,Эксперт2!E19,Эксперт3!E19))</f>
        <v>1</v>
      </c>
      <c r="F19" s="8">
        <f>IF(COUNT(B19:E19)&lt;4,"",GEOMEAN(B19:E19))</f>
        <v>0.70470540894032263</v>
      </c>
      <c r="G19" s="9">
        <f>IFERROR(F19/SUM($F$19:$F$22),"")</f>
        <v>0.16058931961320086</v>
      </c>
      <c r="H19" s="8">
        <f>IFERROR(B19*$G$19+C19*$G$20+D19*$G$21+E19*$G$22,"")</f>
        <v>0.64523784769764059</v>
      </c>
      <c r="I19" s="8">
        <f>IFERROR(H19/G19,"")</f>
        <v>4.0179374895651554</v>
      </c>
    </row>
    <row r="20" spans="1:9" x14ac:dyDescent="0.3">
      <c r="A20" s="3" t="str">
        <f>Справочник!$B$11</f>
        <v>Бюджет</v>
      </c>
      <c r="B20" s="8">
        <f>IF(COUNT(Эксперт1!B20,Эксперт2!B20,Эксперт3!B20)&lt;3,"",GEOMEAN(Эксперт1!B20,Эксперт2!B20,Эксперт3!B20))</f>
        <v>1.2599210498948732</v>
      </c>
      <c r="C20" s="6">
        <f>IF(COUNT(Эксперт1!C20,Эксперт2!C20,Эксперт3!C20)&lt;3,"",GEOMEAN(Эксперт1!C20,Эксперт2!C20,Эксперт3!C20))</f>
        <v>1</v>
      </c>
      <c r="D20" s="8">
        <f>IF(COUNT(Эксперт1!D20,Эксперт2!D20,Эксперт3!D20)&lt;3,"",GEOMEAN(Эксперт1!D20,Эксперт2!D20,Эксперт3!D20))</f>
        <v>0.5</v>
      </c>
      <c r="E20" s="8">
        <f>IF(COUNT(Эксперт1!E20,Эксперт2!E20,Эксперт3!E20)&lt;3,"",GEOMEAN(Эксперт1!E20,Эксперт2!E20,Эксперт3!E20))</f>
        <v>1.5874010519681994</v>
      </c>
      <c r="F20" s="8">
        <f>IF(COUNT(B20:E20)&lt;4,"",GEOMEAN(B20:E20))</f>
        <v>1</v>
      </c>
      <c r="G20" s="9">
        <f>IFERROR(F20/SUM($F$19:$F$22),"")</f>
        <v>0.22788149143722586</v>
      </c>
      <c r="H20" s="8">
        <f>IFERROR(B20*$G$19+C20*$G$20+D20*$G$21+E20*$G$22,"")</f>
        <v>0.91544739756414639</v>
      </c>
      <c r="I20" s="8">
        <f>IFERROR(H20/G20,"")</f>
        <v>4.0172082067328541</v>
      </c>
    </row>
    <row r="21" spans="1:9" x14ac:dyDescent="0.3">
      <c r="A21" s="3" t="str">
        <f>Справочник!$B$12</f>
        <v>Запись</v>
      </c>
      <c r="B21" s="8">
        <f>IF(COUNT(Эксперт1!B21,Эксперт2!B21,Эксперт3!B21)&lt;3,"",GEOMEAN(Эксперт1!B21,Эксперт2!B21,Эксперт3!B21))</f>
        <v>3.2182979486854326</v>
      </c>
      <c r="C21" s="8">
        <f>IF(COUNT(Эксперт1!C21,Эксперт2!C21,Эксперт3!C21)&lt;3,"",GEOMEAN(Эксперт1!C21,Эксперт2!C21,Эксперт3!C21))</f>
        <v>2</v>
      </c>
      <c r="D21" s="6">
        <f>IF(COUNT(Эксперт1!D21,Эксперт2!D21,Эксперт3!D21)&lt;3,"",GEOMEAN(Эксперт1!D21,Эксперт2!D21,Эксперт3!D21))</f>
        <v>1</v>
      </c>
      <c r="E21" s="8">
        <f>IF(COUNT(Эксперт1!E21,Эксперт2!E21,Эксперт3!E21)&lt;3,"",GEOMEAN(Эксперт1!E21,Эксперт2!E21,Эксперт3!E21))</f>
        <v>2.2894284851066637</v>
      </c>
      <c r="F21" s="8">
        <f>IF(COUNT(B21:E21)&lt;4,"",GEOMEAN(B21:E21))</f>
        <v>1.9592769603435267</v>
      </c>
      <c r="G21" s="9">
        <f>IFERROR(F21/SUM($F$19:$F$22),"")</f>
        <v>0.44648295586167724</v>
      </c>
      <c r="H21" s="8">
        <f>IFERROR(B21*$G$19+C21*$G$20+D21*$G$21+E21*$G$22,"")</f>
        <v>1.7969317640190654</v>
      </c>
      <c r="I21" s="8">
        <f>IFERROR(H21/G21,"")</f>
        <v>4.0246368655912681</v>
      </c>
    </row>
    <row r="22" spans="1:9" x14ac:dyDescent="0.3">
      <c r="A22" s="3" t="str">
        <f>Справочник!$B$13</f>
        <v>Привычки</v>
      </c>
      <c r="B22" s="8">
        <f>IF(COUNT(Эксперт1!B22,Эксперт2!B22,Эксперт3!B22)&lt;3,"",GEOMEAN(Эксперт1!B22,Эксперт2!B22,Эксперт3!B22))</f>
        <v>1</v>
      </c>
      <c r="C22" s="8">
        <f>IF(COUNT(Эксперт1!C22,Эксперт2!C22,Эксперт3!C22)&lt;3,"",GEOMEAN(Эксперт1!C22,Эксперт2!C22,Эксперт3!C22))</f>
        <v>0.6299605249474366</v>
      </c>
      <c r="D22" s="8">
        <f>IF(COUNT(Эксперт1!D22,Эксперт2!D22,Эксперт3!D22)&lt;3,"",GEOMEAN(Эксперт1!D22,Эксперт2!D22,Эксперт3!D22))</f>
        <v>0.43679023236814946</v>
      </c>
      <c r="E22" s="6">
        <f>IF(COUNT(Эксперт1!E22,Эксперт2!E22,Эксперт3!E22)&lt;3,"",GEOMEAN(Эксперт1!E22,Эксперт2!E22,Эксперт3!E22))</f>
        <v>1</v>
      </c>
      <c r="F22" s="8">
        <f>IF(COUNT(B22:E22)&lt;4,"",GEOMEAN(B22:E22))</f>
        <v>0.72426344082165584</v>
      </c>
      <c r="G22" s="9">
        <f>IFERROR(F22/SUM($F$19:$F$22),"")</f>
        <v>0.1650462330878959</v>
      </c>
      <c r="H22" s="8">
        <f>IFERROR(B22*$G$19+C22*$G$20+D22*$G$21+E22*$G$22,"")</f>
        <v>0.66421129071193652</v>
      </c>
      <c r="I22" s="8">
        <f>IFERROR(H22/G22,"")</f>
        <v>4.0243953362947016</v>
      </c>
    </row>
    <row r="23" spans="1:9" x14ac:dyDescent="0.3">
      <c r="A23" s="3" t="s">
        <v>43</v>
      </c>
      <c r="B23" s="8">
        <f>IF(COUNT(I19:I22)&lt;4,"",AVERAGE(I19:I22))</f>
        <v>4.0210444745459952</v>
      </c>
      <c r="C23" s="3" t="s">
        <v>44</v>
      </c>
      <c r="D23" s="8">
        <f>IFERROR((B23-4)/(4-1),"")</f>
        <v>7.0148248486650759E-3</v>
      </c>
      <c r="E23" s="3" t="s">
        <v>46</v>
      </c>
      <c r="F23" s="10">
        <f>IFERROR(D23/0.9,"")</f>
        <v>7.7942498318500841E-3</v>
      </c>
      <c r="G23" t="str">
        <f>IF(F23="","заполните матрицу",IF(F23&lt;=0.1,"согласовано","CR &gt; 0,1: пересмотреть"))</f>
        <v>согласовано</v>
      </c>
    </row>
    <row r="30" spans="1:9" x14ac:dyDescent="0.3">
      <c r="A30" s="2" t="str">
        <f>"Альтернативы по критерию: "&amp;Справочник!$B$18</f>
        <v>Альтернативы по критерию: Простота реализации MVP</v>
      </c>
    </row>
    <row r="31" spans="1:9" ht="45" customHeight="1" x14ac:dyDescent="0.3">
      <c r="A31" s="4"/>
      <c r="B31" s="5" t="str">
        <f>Справочник!$B$10</f>
        <v>Бронь</v>
      </c>
      <c r="C31" s="5" t="str">
        <f>Справочник!$B$11</f>
        <v>Бюджет</v>
      </c>
      <c r="D31" s="5" t="str">
        <f>Справочник!$B$12</f>
        <v>Запись</v>
      </c>
      <c r="E31" s="5" t="str">
        <f>Справочник!$B$13</f>
        <v>Привычки</v>
      </c>
      <c r="F31" s="5" t="s">
        <v>39</v>
      </c>
      <c r="G31" s="5" t="s">
        <v>40</v>
      </c>
      <c r="H31" s="5" t="s">
        <v>41</v>
      </c>
      <c r="I31" s="5" t="s">
        <v>42</v>
      </c>
    </row>
    <row r="32" spans="1:9" x14ac:dyDescent="0.3">
      <c r="A32" s="3" t="str">
        <f>Справочник!$B$10</f>
        <v>Бронь</v>
      </c>
      <c r="B32" s="6">
        <f>IF(COUNT(Эксперт1!B32,Эксперт2!B32,Эксперт3!B32)&lt;3,"",GEOMEAN(Эксперт1!B32,Эксперт2!B32,Эксперт3!B32))</f>
        <v>1</v>
      </c>
      <c r="C32" s="8">
        <f>IF(COUNT(Эксперт1!C32,Эксперт2!C32,Эксперт3!C32)&lt;3,"",GEOMEAN(Эксперт1!C32,Эксперт2!C32,Эксперт3!C32))</f>
        <v>2.6207413942088964</v>
      </c>
      <c r="D32" s="8">
        <f>IF(COUNT(Эксперт1!D32,Эксперт2!D32,Эксперт3!D32)&lt;3,"",GEOMEAN(Эксперт1!D32,Эксперт2!D32,Эксперт3!D32))</f>
        <v>2</v>
      </c>
      <c r="E32" s="8">
        <f>IF(COUNT(Эксперт1!E32,Эксперт2!E32,Эксперт3!E32)&lt;3,"",GEOMEAN(Эксперт1!E32,Эксперт2!E32,Эксперт3!E32))</f>
        <v>0.79370052598409979</v>
      </c>
      <c r="F32" s="8">
        <f>IF(COUNT(B32:E32)&lt;4,"",GEOMEAN(B32:E32))</f>
        <v>1.4281627717650063</v>
      </c>
      <c r="G32" s="9">
        <f>IFERROR(F32/SUM($F$32:$F$35),"")</f>
        <v>0.33297272617431234</v>
      </c>
      <c r="H32" s="8">
        <f>IFERROR(B32*$G$32+C32*$G$33+D32*$G$34+E32*$G$35,"")</f>
        <v>1.3582844950467441</v>
      </c>
      <c r="I32" s="8">
        <f>IFERROR(H32/G32,"")</f>
        <v>4.0792665232757761</v>
      </c>
    </row>
    <row r="33" spans="1:9" x14ac:dyDescent="0.3">
      <c r="A33" s="3" t="str">
        <f>Справочник!$B$11</f>
        <v>Бюджет</v>
      </c>
      <c r="B33" s="8">
        <f>IF(COUNT(Эксперт1!B33,Эксперт2!B33,Эксперт3!B33)&lt;3,"",GEOMEAN(Эксперт1!B33,Эксперт2!B33,Эксперт3!B33))</f>
        <v>0.38157141418444396</v>
      </c>
      <c r="C33" s="6">
        <f>IF(COUNT(Эксперт1!C33,Эксперт2!C33,Эксперт3!C33)&lt;3,"",GEOMEAN(Эксперт1!C33,Эксперт2!C33,Эксперт3!C33))</f>
        <v>1</v>
      </c>
      <c r="D33" s="8">
        <f>IF(COUNT(Эксперт1!D33,Эксперт2!D33,Эксперт3!D33)&lt;3,"",GEOMEAN(Эксперт1!D33,Эксперт2!D33,Эксперт3!D33))</f>
        <v>0.66943295008216952</v>
      </c>
      <c r="E33" s="8">
        <f>IF(COUNT(Эксперт1!E33,Эксперт2!E33,Эксперт3!E33)&lt;3,"",GEOMEAN(Эксперт1!E33,Эксперт2!E33,Эксперт3!E33))</f>
        <v>0.32182979486854324</v>
      </c>
      <c r="F33" s="8">
        <f>IF(COUNT(B33:E33)&lt;4,"",GEOMEAN(B33:E33))</f>
        <v>0.53546031758455592</v>
      </c>
      <c r="G33" s="9">
        <f>IFERROR(F33/SUM($F$32:$F$35),"")</f>
        <v>0.12484128926281071</v>
      </c>
      <c r="H33" s="8">
        <f>IFERROR(B33*$G$32+C33*$G$33+D33*$G$34+E33*$G$35,"")</f>
        <v>0.50355460444283273</v>
      </c>
      <c r="I33" s="8">
        <f>IFERROR(H33/G33,"")</f>
        <v>4.0335581874901214</v>
      </c>
    </row>
    <row r="34" spans="1:9" x14ac:dyDescent="0.3">
      <c r="A34" s="3" t="str">
        <f>Справочник!$B$12</f>
        <v>Запись</v>
      </c>
      <c r="B34" s="8">
        <f>IF(COUNT(Эксперт1!B34,Эксперт2!B34,Эксперт3!B34)&lt;3,"",GEOMEAN(Эксперт1!B34,Эксперт2!B34,Эксперт3!B34))</f>
        <v>0.5</v>
      </c>
      <c r="C34" s="8">
        <f>IF(COUNT(Эксперт1!C34,Эксперт2!C34,Эксперт3!C34)&lt;3,"",GEOMEAN(Эксперт1!C34,Эксперт2!C34,Эксперт3!C34))</f>
        <v>1.4938015821857216</v>
      </c>
      <c r="D34" s="6">
        <f>IF(COUNT(Эксперт1!D34,Эксперт2!D34,Эксперт3!D34)&lt;3,"",GEOMEAN(Эксперт1!D34,Эксперт2!D34,Эксперт3!D34))</f>
        <v>1</v>
      </c>
      <c r="E34" s="8">
        <f>IF(COUNT(Эксперт1!E34,Эксперт2!E34,Эксперт3!E34)&lt;3,"",GEOMEAN(Эксперт1!E34,Эксперт2!E34,Эксперт3!E34))</f>
        <v>1.1006424162982089</v>
      </c>
      <c r="F34" s="8">
        <f>IF(COUNT(B34:E34)&lt;4,"",GEOMEAN(B34:E34))</f>
        <v>0.95219805765351839</v>
      </c>
      <c r="G34" s="9">
        <f>IFERROR(F34/SUM($F$32:$F$35),"")</f>
        <v>0.22200269421876956</v>
      </c>
      <c r="H34" s="8">
        <f>IFERROR(B34*$G$32+C34*$G$33+D34*$G$34+E34*$G$35,"")</f>
        <v>0.92738448307146704</v>
      </c>
      <c r="I34" s="8">
        <f>IFERROR(H34/G34,"")</f>
        <v>4.1773568844961337</v>
      </c>
    </row>
    <row r="35" spans="1:9" x14ac:dyDescent="0.3">
      <c r="A35" s="3" t="str">
        <f>Справочник!$B$13</f>
        <v>Привычки</v>
      </c>
      <c r="B35" s="8">
        <f>IF(COUNT(Эксперт1!B35,Эксперт2!B35,Эксперт3!B35)&lt;3,"",GEOMEAN(Эксперт1!B35,Эксперт2!B35,Эксперт3!B35))</f>
        <v>1.2599210498948732</v>
      </c>
      <c r="C35" s="8">
        <f>IF(COUNT(Эксперт1!C35,Эксперт2!C35,Эксперт3!C35)&lt;3,"",GEOMEAN(Эксперт1!C35,Эксперт2!C35,Эксперт3!C35))</f>
        <v>3.1072325059538586</v>
      </c>
      <c r="D35" s="8">
        <f>IF(COUNT(Эксперт1!D35,Эксперт2!D35,Эксперт3!D35)&lt;3,"",GEOMEAN(Эксперт1!D35,Эксперт2!D35,Эксперт3!D35))</f>
        <v>0.90856029641606983</v>
      </c>
      <c r="E35" s="6">
        <f>IF(COUNT(Эксперт1!E35,Эксперт2!E35,Эксперт3!E35)&lt;3,"",GEOMEAN(Эксперт1!E35,Эксперт2!E35,Эксперт3!E35))</f>
        <v>1</v>
      </c>
      <c r="F35" s="8">
        <f>IF(COUNT(B35:E35)&lt;4,"",GEOMEAN(B35:E35))</f>
        <v>1.3733072394983357</v>
      </c>
      <c r="G35" s="9">
        <f>IFERROR(F35/SUM($F$32:$F$35),"")</f>
        <v>0.32018329034410736</v>
      </c>
      <c r="H35" s="8">
        <f>IFERROR(B35*$G$32+C35*$G$33+D35*$G$34+E35*$G$35,"")</f>
        <v>1.3293163828391703</v>
      </c>
      <c r="I35" s="8">
        <f>IFERROR(H35/G35,"")</f>
        <v>4.151735655569432</v>
      </c>
    </row>
    <row r="36" spans="1:9" x14ac:dyDescent="0.3">
      <c r="A36" s="3" t="s">
        <v>43</v>
      </c>
      <c r="B36" s="8">
        <f>IF(COUNT(I32:I35)&lt;4,"",AVERAGE(I32:I35))</f>
        <v>4.1104793127078656</v>
      </c>
      <c r="C36" s="3" t="s">
        <v>44</v>
      </c>
      <c r="D36" s="8">
        <f>IFERROR((B36-4)/(4-1),"")</f>
        <v>3.682643756928853E-2</v>
      </c>
      <c r="E36" s="3" t="s">
        <v>46</v>
      </c>
      <c r="F36" s="10">
        <f>IFERROR(D36/0.9,"")</f>
        <v>4.0918263965876146E-2</v>
      </c>
      <c r="G36" t="str">
        <f>IF(F36="","заполните матрицу",IF(F36&lt;=0.1,"согласовано","CR &gt; 0,1: пересмотреть"))</f>
        <v>согласовано</v>
      </c>
    </row>
    <row r="43" spans="1:9" x14ac:dyDescent="0.3">
      <c r="A43" s="2" t="str">
        <f>"Альтернативы по критерию: "&amp;Справочник!$B$19</f>
        <v>Альтернативы по критерию: Пригодность для оценки и планирования</v>
      </c>
    </row>
    <row r="44" spans="1:9" ht="45" customHeight="1" x14ac:dyDescent="0.3">
      <c r="A44" s="4"/>
      <c r="B44" s="5" t="str">
        <f>Справочник!$B$10</f>
        <v>Бронь</v>
      </c>
      <c r="C44" s="5" t="str">
        <f>Справочник!$B$11</f>
        <v>Бюджет</v>
      </c>
      <c r="D44" s="5" t="str">
        <f>Справочник!$B$12</f>
        <v>Запись</v>
      </c>
      <c r="E44" s="5" t="str">
        <f>Справочник!$B$13</f>
        <v>Привычки</v>
      </c>
      <c r="F44" s="5" t="s">
        <v>39</v>
      </c>
      <c r="G44" s="5" t="s">
        <v>40</v>
      </c>
      <c r="H44" s="5" t="s">
        <v>41</v>
      </c>
      <c r="I44" s="5" t="s">
        <v>42</v>
      </c>
    </row>
    <row r="45" spans="1:9" x14ac:dyDescent="0.3">
      <c r="A45" s="3" t="str">
        <f>Справочник!$B$10</f>
        <v>Бронь</v>
      </c>
      <c r="B45" s="6">
        <f>IF(COUNT(Эксперт1!B45,Эксперт2!B45,Эксперт3!B45)&lt;3,"",GEOMEAN(Эксперт1!B45,Эксперт2!B45,Эксперт3!B45))</f>
        <v>1</v>
      </c>
      <c r="C45" s="8">
        <f>IF(COUNT(Эксперт1!C45,Эксперт2!C45,Эксперт3!C45)&lt;3,"",GEOMEAN(Эксперт1!C45,Эксперт2!C45,Эксперт3!C45))</f>
        <v>3</v>
      </c>
      <c r="D45" s="8">
        <f>IF(COUNT(Эксперт1!D45,Эксперт2!D45,Эксперт3!D45)&lt;3,"",GEOMEAN(Эксперт1!D45,Эксперт2!D45,Эксперт3!D45))</f>
        <v>0.5</v>
      </c>
      <c r="E45" s="8">
        <f>IF(COUNT(Эксперт1!E45,Эксперт2!E45,Эксперт3!E45)&lt;3,"",GEOMEAN(Эксперт1!E45,Эксперт2!E45,Эксперт3!E45))</f>
        <v>3</v>
      </c>
      <c r="F45" s="8">
        <f>IF(COUNT(B45:E45)&lt;4,"",GEOMEAN(B45:E45))</f>
        <v>1.4564753151219703</v>
      </c>
      <c r="G45" s="9">
        <f>IFERROR(F45/SUM($F$45:$F$48),"")</f>
        <v>0.29246700214587729</v>
      </c>
      <c r="H45" s="8">
        <f>IFERROR(B45*$G$45+C45*$G$46+D45*$G$47+E45*$G$48,"")</f>
        <v>1.1758331461941878</v>
      </c>
      <c r="I45" s="8">
        <f>IFERROR(H45/G45,"")</f>
        <v>4.0203959337870989</v>
      </c>
    </row>
    <row r="46" spans="1:9" x14ac:dyDescent="0.3">
      <c r="A46" s="3" t="str">
        <f>Справочник!$B$11</f>
        <v>Бюджет</v>
      </c>
      <c r="B46" s="8">
        <f>IF(COUNT(Эксперт1!B46,Эксперт2!B46,Эксперт3!B46)&lt;3,"",GEOMEAN(Эксперт1!B46,Эксперт2!B46,Эксперт3!B46))</f>
        <v>0.33333333333333331</v>
      </c>
      <c r="C46" s="6">
        <f>IF(COUNT(Эксперт1!C46,Эксперт2!C46,Эксперт3!C46)&lt;3,"",GEOMEAN(Эксперт1!C46,Эксперт2!C46,Эксперт3!C46))</f>
        <v>1</v>
      </c>
      <c r="D46" s="8">
        <f>IF(COUNT(Эксперт1!D46,Эксперт2!D46,Эксперт3!D46)&lt;3,"",GEOMEAN(Эксперт1!D46,Эксперт2!D46,Эксперт3!D46))</f>
        <v>0.21544346900318839</v>
      </c>
      <c r="E46" s="8">
        <f>IF(COUNT(Эксперт1!E46,Эксперт2!E46,Эксперт3!E46)&lt;3,"",GEOMEAN(Эксперт1!E46,Эксперт2!E46,Эксперт3!E46))</f>
        <v>1</v>
      </c>
      <c r="F46" s="8">
        <f>IF(COUNT(B46:E46)&lt;4,"",GEOMEAN(B46:E46))</f>
        <v>0.51767002642164817</v>
      </c>
      <c r="G46" s="9">
        <f>IFERROR(F46/SUM($F$45:$F$48),"")</f>
        <v>0.10395054358723384</v>
      </c>
      <c r="H46" s="8">
        <f>IFERROR(B46*$G$45+C46*$G$46+D46*$G$47+E46*$G$48,"")</f>
        <v>0.41612270836459797</v>
      </c>
      <c r="I46" s="8">
        <f>IFERROR(H46/G46,"")</f>
        <v>4.0030835241894973</v>
      </c>
    </row>
    <row r="47" spans="1:9" x14ac:dyDescent="0.3">
      <c r="A47" s="3" t="str">
        <f>Справочник!$B$12</f>
        <v>Запись</v>
      </c>
      <c r="B47" s="8">
        <f>IF(COUNT(Эксперт1!B47,Эксперт2!B47,Эксперт3!B47)&lt;3,"",GEOMEAN(Эксперт1!B47,Эксперт2!B47,Эксперт3!B47))</f>
        <v>2</v>
      </c>
      <c r="C47" s="8">
        <f>IF(COUNT(Эксперт1!C47,Эксперт2!C47,Эксперт3!C47)&lt;3,"",GEOMEAN(Эксперт1!C47,Эксперт2!C47,Эксперт3!C47))</f>
        <v>4.6415888336127793</v>
      </c>
      <c r="D47" s="6">
        <f>IF(COUNT(Эксперт1!D47,Эксперт2!D47,Эксперт3!D47)&lt;3,"",GEOMEAN(Эксперт1!D47,Эксперт2!D47,Эксперт3!D47))</f>
        <v>1</v>
      </c>
      <c r="E47" s="8">
        <f>IF(COUNT(Эксперт1!E47,Эксперт2!E47,Эксперт3!E47)&lt;3,"",GEOMEAN(Эксперт1!E47,Эксперт2!E47,Эксперт3!E47))</f>
        <v>4</v>
      </c>
      <c r="F47" s="8">
        <f>IF(COUNT(B47:E47)&lt;4,"",GEOMEAN(B47:E47))</f>
        <v>2.4685342849108518</v>
      </c>
      <c r="G47" s="9">
        <f>IFERROR(F47/SUM($F$45:$F$48),"")</f>
        <v>0.49569313980562307</v>
      </c>
      <c r="H47" s="8">
        <f>IFERROR(B47*$G$45+C47*$G$46+D47*$G$47+E47*$G$48,"")</f>
        <v>1.9946800843049242</v>
      </c>
      <c r="I47" s="8">
        <f>IFERROR(H47/G47,"")</f>
        <v>4.0240219686863155</v>
      </c>
    </row>
    <row r="48" spans="1:9" x14ac:dyDescent="0.3">
      <c r="A48" s="3" t="str">
        <f>Справочник!$B$13</f>
        <v>Привычки</v>
      </c>
      <c r="B48" s="8">
        <f>IF(COUNT(Эксперт1!B48,Эксперт2!B48,Эксперт3!B48)&lt;3,"",GEOMEAN(Эксперт1!B48,Эксперт2!B48,Эксперт3!B48))</f>
        <v>0.33333333333333331</v>
      </c>
      <c r="C48" s="8">
        <f>IF(COUNT(Эксперт1!C48,Эксперт2!C48,Эксперт3!C48)&lt;3,"",GEOMEAN(Эксперт1!C48,Эксперт2!C48,Эксперт3!C48))</f>
        <v>1</v>
      </c>
      <c r="D48" s="8">
        <f>IF(COUNT(Эксперт1!D48,Эксперт2!D48,Эксперт3!D48)&lt;3,"",GEOMEAN(Эксперт1!D48,Эксперт2!D48,Эксперт3!D48))</f>
        <v>0.25</v>
      </c>
      <c r="E48" s="6">
        <f>IF(COUNT(Эксперт1!E48,Эксперт2!E48,Эксперт3!E48)&lt;3,"",GEOMEAN(Эксперт1!E48,Эксперт2!E48,Эксперт3!E48))</f>
        <v>1</v>
      </c>
      <c r="F48" s="8">
        <f>IF(COUNT(B48:E48)&lt;4,"",GEOMEAN(B48:E48))</f>
        <v>0.537284965911771</v>
      </c>
      <c r="G48" s="9">
        <f>IFERROR(F48/SUM($F$45:$F$48),"")</f>
        <v>0.10788931446126585</v>
      </c>
      <c r="H48" s="8">
        <f>IFERROR(B48*$G$45+C48*$G$46+D48*$G$47+E48*$G$48,"")</f>
        <v>0.43325214371519782</v>
      </c>
      <c r="I48" s="8">
        <f>IFERROR(H48/G48,"")</f>
        <v>4.0157094878079231</v>
      </c>
    </row>
    <row r="49" spans="1:9" x14ac:dyDescent="0.3">
      <c r="A49" s="3" t="s">
        <v>43</v>
      </c>
      <c r="B49" s="8">
        <f>IF(COUNT(I45:I48)&lt;4,"",AVERAGE(I45:I48))</f>
        <v>4.0158027286177091</v>
      </c>
      <c r="C49" s="3" t="s">
        <v>44</v>
      </c>
      <c r="D49" s="8">
        <f>IFERROR((B49-4)/(4-1),"")</f>
        <v>5.2675762059030502E-3</v>
      </c>
      <c r="E49" s="3" t="s">
        <v>46</v>
      </c>
      <c r="F49" s="10">
        <f>IFERROR(D49/0.9,"")</f>
        <v>5.8528624510033886E-3</v>
      </c>
      <c r="G49" t="str">
        <f>IF(F49="","заполните матрицу",IF(F49&lt;=0.1,"согласовано","CR &gt; 0,1: пересмотреть"))</f>
        <v>согласовано</v>
      </c>
    </row>
    <row r="56" spans="1:9" x14ac:dyDescent="0.3">
      <c r="A56" s="2" t="str">
        <f>"Альтернативы по критерию: "&amp;Справочник!$B$20</f>
        <v>Альтернативы по критерию: Потенциал монетизации</v>
      </c>
    </row>
    <row r="57" spans="1:9" ht="45" customHeight="1" x14ac:dyDescent="0.3">
      <c r="A57" s="4"/>
      <c r="B57" s="5" t="str">
        <f>Справочник!$B$10</f>
        <v>Бронь</v>
      </c>
      <c r="C57" s="5" t="str">
        <f>Справочник!$B$11</f>
        <v>Бюджет</v>
      </c>
      <c r="D57" s="5" t="str">
        <f>Справочник!$B$12</f>
        <v>Запись</v>
      </c>
      <c r="E57" s="5" t="str">
        <f>Справочник!$B$13</f>
        <v>Привычки</v>
      </c>
      <c r="F57" s="5" t="s">
        <v>39</v>
      </c>
      <c r="G57" s="5" t="s">
        <v>40</v>
      </c>
      <c r="H57" s="5" t="s">
        <v>41</v>
      </c>
      <c r="I57" s="5" t="s">
        <v>42</v>
      </c>
    </row>
    <row r="58" spans="1:9" x14ac:dyDescent="0.3">
      <c r="A58" s="3" t="str">
        <f>Справочник!$B$10</f>
        <v>Бронь</v>
      </c>
      <c r="B58" s="6">
        <f>IF(COUNT(Эксперт1!B58,Эксперт2!B58,Эксперт3!B58)&lt;3,"",GEOMEAN(Эксперт1!B58,Эксперт2!B58,Эксперт3!B58))</f>
        <v>1</v>
      </c>
      <c r="C58" s="8">
        <f>IF(COUNT(Эксперт1!C58,Эксперт2!C58,Эксперт3!C58)&lt;3,"",GEOMEAN(Эксперт1!C58,Эксперт2!C58,Эксперт3!C58))</f>
        <v>1</v>
      </c>
      <c r="D58" s="8">
        <f>IF(COUNT(Эксперт1!D58,Эксперт2!D58,Эксперт3!D58)&lt;3,"",GEOMEAN(Эксперт1!D58,Эксперт2!D58,Эксперт3!D58))</f>
        <v>0.25</v>
      </c>
      <c r="E58" s="8">
        <f>IF(COUNT(Эксперт1!E58,Эксперт2!E58,Эксперт3!E58)&lt;3,"",GEOMEAN(Эксперт1!E58,Эксперт2!E58,Эксперт3!E58))</f>
        <v>2</v>
      </c>
      <c r="F58" s="8">
        <f>IF(COUNT(B58:E58)&lt;4,"",GEOMEAN(B58:E58))</f>
        <v>0.8408964152537145</v>
      </c>
      <c r="G58" s="9">
        <f>IFERROR(F58/SUM($F$58:$F$61),"")</f>
        <v>0.16801847339270448</v>
      </c>
      <c r="H58" s="8">
        <f>IFERROR(B58*$G$58+C58*$G$59+D58*$G$60+E58*$G$61,"")</f>
        <v>0.67859222672850206</v>
      </c>
      <c r="I58" s="8">
        <f>IFERROR(H58/G58,"")</f>
        <v>4.0387953361678806</v>
      </c>
    </row>
    <row r="59" spans="1:9" x14ac:dyDescent="0.3">
      <c r="A59" s="3" t="str">
        <f>Справочник!$B$11</f>
        <v>Бюджет</v>
      </c>
      <c r="B59" s="8">
        <f>IF(COUNT(Эксперт1!B59,Эксперт2!B59,Эксперт3!B59)&lt;3,"",GEOMEAN(Эксперт1!B59,Эксперт2!B59,Эксперт3!B59))</f>
        <v>1</v>
      </c>
      <c r="C59" s="6">
        <f>IF(COUNT(Эксперт1!C59,Эксперт2!C59,Эксперт3!C59)&lt;3,"",GEOMEAN(Эксперт1!C59,Эксперт2!C59,Эксперт3!C59))</f>
        <v>1</v>
      </c>
      <c r="D59" s="8">
        <f>IF(COUNT(Эксперт1!D59,Эксперт2!D59,Эксперт3!D59)&lt;3,"",GEOMEAN(Эксперт1!D59,Эксперт2!D59,Эксперт3!D59))</f>
        <v>0.26566464229565279</v>
      </c>
      <c r="E59" s="8">
        <f>IF(COUNT(Эксперт1!E59,Эксперт2!E59,Эксперт3!E59)&lt;3,"",GEOMEAN(Эксперт1!E59,Эксперт2!E59,Эксперт3!E59))</f>
        <v>1.5874010519681994</v>
      </c>
      <c r="F59" s="8">
        <f>IF(COUNT(B59:E59)&lt;4,"",GEOMEAN(B59:E59))</f>
        <v>0.80585166077227444</v>
      </c>
      <c r="G59" s="9">
        <f>IFERROR(F59/SUM($F$58:$F$61),"")</f>
        <v>0.16101622431471654</v>
      </c>
      <c r="H59" s="8">
        <f>IFERROR(B59*$G$58+C59*$G$59+D59*$G$60+E59*$G$61,"")</f>
        <v>0.64460822385695571</v>
      </c>
      <c r="I59" s="8">
        <f>IFERROR(H59/G59,"")</f>
        <v>4.0033743593256013</v>
      </c>
    </row>
    <row r="60" spans="1:9" x14ac:dyDescent="0.3">
      <c r="A60" s="3" t="str">
        <f>Справочник!$B$12</f>
        <v>Запись</v>
      </c>
      <c r="B60" s="8">
        <f>IF(COUNT(Эксперт1!B60,Эксперт2!B60,Эксперт3!B60)&lt;3,"",GEOMEAN(Эксперт1!B60,Эксперт2!B60,Эксперт3!B60))</f>
        <v>4</v>
      </c>
      <c r="C60" s="8">
        <f>IF(COUNT(Эксперт1!C60,Эксперт2!C60,Эксперт3!C60)&lt;3,"",GEOMEAN(Эксперт1!C60,Эксперт2!C60,Эксперт3!C60))</f>
        <v>3.7641441155241138</v>
      </c>
      <c r="D60" s="6">
        <f>IF(COUNT(Эксперт1!D60,Эксперт2!D60,Эксперт3!D60)&lt;3,"",GEOMEAN(Эксперт1!D60,Эксперт2!D60,Эксперт3!D60))</f>
        <v>1</v>
      </c>
      <c r="E60" s="8">
        <f>IF(COUNT(Эксперт1!E60,Эксперт2!E60,Эксперт3!E60)&lt;3,"",GEOMEAN(Эксперт1!E60,Эксперт2!E60,Эксперт3!E60))</f>
        <v>4.3088693800637676</v>
      </c>
      <c r="F60" s="8">
        <f>IF(COUNT(B60:E60)&lt;4,"",GEOMEAN(B60:E60))</f>
        <v>2.8380653456419949</v>
      </c>
      <c r="G60" s="9">
        <f>IFERROR(F60/SUM($F$58:$F$61),"")</f>
        <v>0.56707032889375819</v>
      </c>
      <c r="H60" s="8">
        <f>IFERROR(B60*$G$58+C60*$G$59+D60*$G$60+E60*$G$61,"")</f>
        <v>2.2929023653434455</v>
      </c>
      <c r="I60" s="8">
        <f>IFERROR(H60/G60,"")</f>
        <v>4.0434179827684575</v>
      </c>
    </row>
    <row r="61" spans="1:9" x14ac:dyDescent="0.3">
      <c r="A61" s="3" t="str">
        <f>Справочник!$B$13</f>
        <v>Привычки</v>
      </c>
      <c r="B61" s="8">
        <f>IF(COUNT(Эксперт1!B61,Эксперт2!B61,Эксперт3!B61)&lt;3,"",GEOMEAN(Эксперт1!B61,Эксперт2!B61,Эксперт3!B61))</f>
        <v>0.5</v>
      </c>
      <c r="C61" s="8">
        <f>IF(COUNT(Эксперт1!C61,Эксперт2!C61,Эксперт3!C61)&lt;3,"",GEOMEAN(Эксперт1!C61,Эксперт2!C61,Эксперт3!C61))</f>
        <v>0.6299605249474366</v>
      </c>
      <c r="D61" s="8">
        <f>IF(COUNT(Эксперт1!D61,Эксперт2!D61,Эксперт3!D61)&lt;3,"",GEOMEAN(Эксперт1!D61,Эксперт2!D61,Эксперт3!D61))</f>
        <v>0.23207944168063896</v>
      </c>
      <c r="E61" s="6">
        <f>IF(COUNT(Эксперт1!E61,Эксперт2!E61,Эксперт3!E61)&lt;3,"",GEOMEAN(Эксперт1!E61,Эксперт2!E61,Эксперт3!E61))</f>
        <v>1</v>
      </c>
      <c r="F61" s="8">
        <f>IF(COUNT(B61:E61)&lt;4,"",GEOMEAN(B61:E61))</f>
        <v>0.51997205384525214</v>
      </c>
      <c r="G61" s="9">
        <f>IFERROR(F61/SUM($F$58:$F$61),"")</f>
        <v>0.10389497339882076</v>
      </c>
      <c r="H61" s="8">
        <f>IFERROR(B61*$G$58+C61*$G$59+D61*$G$60+E61*$G$61,"")</f>
        <v>0.42094344061284578</v>
      </c>
      <c r="I61" s="8">
        <f>IFERROR(H61/G61,"")</f>
        <v>4.0516247017742977</v>
      </c>
    </row>
    <row r="62" spans="1:9" x14ac:dyDescent="0.3">
      <c r="A62" s="3" t="s">
        <v>43</v>
      </c>
      <c r="B62" s="8">
        <f>IF(COUNT(I58:I61)&lt;4,"",AVERAGE(I58:I61))</f>
        <v>4.0343030950090588</v>
      </c>
      <c r="C62" s="3" t="s">
        <v>44</v>
      </c>
      <c r="D62" s="8">
        <f>IFERROR((B62-4)/(4-1),"")</f>
        <v>1.1434365003019606E-2</v>
      </c>
      <c r="E62" s="3" t="s">
        <v>46</v>
      </c>
      <c r="F62" s="10">
        <f>IFERROR(D62/0.9,"")</f>
        <v>1.2704850003355117E-2</v>
      </c>
      <c r="G62" t="str">
        <f>IF(F62="","заполните матрицу",IF(F62&lt;=0.1,"согласовано","CR &gt; 0,1: пересмотреть"))</f>
        <v>согласовано</v>
      </c>
    </row>
    <row r="69" spans="1:9" x14ac:dyDescent="0.3">
      <c r="A69" s="2" t="str">
        <f>"Альтернативы по критерию: "&amp;Справочник!$B$21</f>
        <v>Альтернативы по критерию: Интерес и экспертиза команды</v>
      </c>
    </row>
    <row r="70" spans="1:9" ht="45" customHeight="1" x14ac:dyDescent="0.3">
      <c r="A70" s="4"/>
      <c r="B70" s="5" t="str">
        <f>Справочник!$B$10</f>
        <v>Бронь</v>
      </c>
      <c r="C70" s="5" t="str">
        <f>Справочник!$B$11</f>
        <v>Бюджет</v>
      </c>
      <c r="D70" s="5" t="str">
        <f>Справочник!$B$12</f>
        <v>Запись</v>
      </c>
      <c r="E70" s="5" t="str">
        <f>Справочник!$B$13</f>
        <v>Привычки</v>
      </c>
      <c r="F70" s="5" t="s">
        <v>39</v>
      </c>
      <c r="G70" s="5" t="s">
        <v>40</v>
      </c>
      <c r="H70" s="5" t="s">
        <v>41</v>
      </c>
      <c r="I70" s="5" t="s">
        <v>42</v>
      </c>
    </row>
    <row r="71" spans="1:9" x14ac:dyDescent="0.3">
      <c r="A71" s="3" t="str">
        <f>Справочник!$B$10</f>
        <v>Бронь</v>
      </c>
      <c r="B71" s="6">
        <f>IF(COUNT(Эксперт1!B71,Эксперт2!B71,Эксперт3!B71)&lt;3,"",GEOMEAN(Эксперт1!B71,Эксперт2!B71,Эксперт3!B71))</f>
        <v>1</v>
      </c>
      <c r="C71" s="8">
        <f>IF(COUNT(Эксперт1!C71,Эксперт2!C71,Эксперт3!C71)&lt;3,"",GEOMEAN(Эксперт1!C71,Эксперт2!C71,Эксперт3!C71))</f>
        <v>0.79370052598409979</v>
      </c>
      <c r="D71" s="8">
        <f>IF(COUNT(Эксперт1!D71,Эксперт2!D71,Эксперт3!D71)&lt;3,"",GEOMEAN(Эксперт1!D71,Эксперт2!D71,Эксперт3!D71))</f>
        <v>0.6299605249474366</v>
      </c>
      <c r="E71" s="8">
        <f>IF(COUNT(Эксперт1!E71,Эксперт2!E71,Эксперт3!E71)&lt;3,"",GEOMEAN(Эксперт1!E71,Эксперт2!E71,Эксперт3!E71))</f>
        <v>2.6207413942088964</v>
      </c>
      <c r="F71" s="8">
        <f>IF(COUNT(B71:E71)&lt;4,"",GEOMEAN(B71:E71))</f>
        <v>1.069913193933663</v>
      </c>
      <c r="G71" s="9">
        <f>IFERROR(F71/SUM($F$71:$F$74),"")</f>
        <v>0.25165621736753696</v>
      </c>
      <c r="H71" s="8">
        <f>IFERROR(B71*$G$71+C71*$G$72+D71*$G$73+E71*$G$74,"")</f>
        <v>1.0220443354723576</v>
      </c>
      <c r="I71" s="8">
        <f>IFERROR(H71/G71,"")</f>
        <v>4.0612719453685902</v>
      </c>
    </row>
    <row r="72" spans="1:9" x14ac:dyDescent="0.3">
      <c r="A72" s="3" t="str">
        <f>Справочник!$B$11</f>
        <v>Бюджет</v>
      </c>
      <c r="B72" s="8">
        <f>IF(COUNT(Эксперт1!B72,Эксперт2!B72,Эксперт3!B72)&lt;3,"",GEOMEAN(Эксперт1!B72,Эксперт2!B72,Эксперт3!B72))</f>
        <v>1.2599210498948732</v>
      </c>
      <c r="C72" s="6">
        <f>IF(COUNT(Эксперт1!C72,Эксперт2!C72,Эксперт3!C72)&lt;3,"",GEOMEAN(Эксперт1!C72,Эксперт2!C72,Эксперт3!C72))</f>
        <v>1</v>
      </c>
      <c r="D72" s="8">
        <f>IF(COUNT(Эксперт1!D72,Эксперт2!D72,Эксперт3!D72)&lt;3,"",GEOMEAN(Эксперт1!D72,Эксперт2!D72,Эксперт3!D72))</f>
        <v>1</v>
      </c>
      <c r="E72" s="8">
        <f>IF(COUNT(Эксперт1!E72,Эксперт2!E72,Эксперт3!E72)&lt;3,"",GEOMEAN(Эксперт1!E72,Эксперт2!E72,Эксперт3!E72))</f>
        <v>1.8171205928321397</v>
      </c>
      <c r="F72" s="8">
        <f>IF(COUNT(B72:E72)&lt;4,"",GEOMEAN(B72:E72))</f>
        <v>1.2300755055779713</v>
      </c>
      <c r="G72" s="9">
        <f>IFERROR(F72/SUM($F$71:$F$74),"")</f>
        <v>0.28932828435556801</v>
      </c>
      <c r="H72" s="8">
        <f>IFERROR(B72*$G$71+C72*$G$72+D72*$G$73+E72*$G$74,"")</f>
        <v>1.1686749911514878</v>
      </c>
      <c r="I72" s="8">
        <f>IFERROR(H72/G72,"")</f>
        <v>4.0392697649817491</v>
      </c>
    </row>
    <row r="73" spans="1:9" x14ac:dyDescent="0.3">
      <c r="A73" s="3" t="str">
        <f>Справочник!$B$12</f>
        <v>Запись</v>
      </c>
      <c r="B73" s="8">
        <f>IF(COUNT(Эксперт1!B73,Эксперт2!B73,Эксперт3!B73)&lt;3,"",GEOMEAN(Эксперт1!B73,Эксперт2!B73,Эксперт3!B73))</f>
        <v>1.5874010519681994</v>
      </c>
      <c r="C73" s="8">
        <f>IF(COUNT(Эксперт1!C73,Эксперт2!C73,Эксперт3!C73)&lt;3,"",GEOMEAN(Эксперт1!C73,Эксперт2!C73,Эксперт3!C73))</f>
        <v>1</v>
      </c>
      <c r="D73" s="6">
        <f>IF(COUNT(Эксперт1!D73,Эксперт2!D73,Эксперт3!D73)&lt;3,"",GEOMEAN(Эксперт1!D73,Эксперт2!D73,Эксперт3!D73))</f>
        <v>1</v>
      </c>
      <c r="E73" s="8">
        <f>IF(COUNT(Эксперт1!E73,Эксперт2!E73,Эксперт3!E73)&lt;3,"",GEOMEAN(Эксперт1!E73,Эксперт2!E73,Эксперт3!E73))</f>
        <v>2.5198420997897464</v>
      </c>
      <c r="F73" s="8">
        <f>IF(COUNT(B73:E73)&lt;4,"",GEOMEAN(B73:E73))</f>
        <v>1.4142135623730949</v>
      </c>
      <c r="G73" s="9">
        <f>IFERROR(F73/SUM($F$71:$F$74),"")</f>
        <v>0.33263972972254857</v>
      </c>
      <c r="H73" s="8">
        <f>IFERROR(B73*$G$71+C73*$G$72+D73*$G$73+E73*$G$74,"")</f>
        <v>1.3398943402582102</v>
      </c>
      <c r="I73" s="8">
        <f>IFERROR(H73/G73,"")</f>
        <v>4.0280646613554021</v>
      </c>
    </row>
    <row r="74" spans="1:9" x14ac:dyDescent="0.3">
      <c r="A74" s="3" t="str">
        <f>Справочник!$B$13</f>
        <v>Привычки</v>
      </c>
      <c r="B74" s="8">
        <f>IF(COUNT(Эксперт1!B74,Эксперт2!B74,Эксперт3!B74)&lt;3,"",GEOMEAN(Эксперт1!B74,Эксперт2!B74,Эксперт3!B74))</f>
        <v>0.38157141418444396</v>
      </c>
      <c r="C74" s="8">
        <f>IF(COUNT(Эксперт1!C74,Эксперт2!C74,Эксперт3!C74)&lt;3,"",GEOMEAN(Эксперт1!C74,Эксперт2!C74,Эксперт3!C74))</f>
        <v>0.55032120814910446</v>
      </c>
      <c r="D74" s="8">
        <f>IF(COUNT(Эксперт1!D74,Эксперт2!D74,Эксперт3!D74)&lt;3,"",GEOMEAN(Эксперт1!D74,Эксперт2!D74,Эксперт3!D74))</f>
        <v>0.3968502629920499</v>
      </c>
      <c r="E74" s="6">
        <f>IF(COUNT(Эксперт1!E74,Эксперт2!E74,Эксперт3!E74)&lt;3,"",GEOMEAN(Эксперт1!E74,Эксперт2!E74,Эксперт3!E74))</f>
        <v>1</v>
      </c>
      <c r="F74" s="8">
        <f>IF(COUNT(B74:E74)&lt;4,"",GEOMEAN(B74:E74))</f>
        <v>0.537284965911771</v>
      </c>
      <c r="G74" s="9">
        <f>IFERROR(F74/SUM($F$71:$F$74),"")</f>
        <v>0.12637576855434657</v>
      </c>
      <c r="H74" s="8">
        <f>IFERROR(B74*$G$71+C74*$G$72+D74*$G$73+E74*$G$74,"")</f>
        <v>0.51363224252384709</v>
      </c>
      <c r="I74" s="8">
        <f>IFERROR(H74/G74,"")</f>
        <v>4.0643253718608641</v>
      </c>
    </row>
    <row r="75" spans="1:9" x14ac:dyDescent="0.3">
      <c r="A75" s="3" t="s">
        <v>43</v>
      </c>
      <c r="B75" s="8">
        <f>IF(COUNT(I71:I74)&lt;4,"",AVERAGE(I71:I74))</f>
        <v>4.0482329358916509</v>
      </c>
      <c r="C75" s="3" t="s">
        <v>44</v>
      </c>
      <c r="D75" s="8">
        <f>IFERROR((B75-4)/(4-1),"")</f>
        <v>1.6077645297216964E-2</v>
      </c>
      <c r="E75" s="3" t="s">
        <v>46</v>
      </c>
      <c r="F75" s="10">
        <f>IFERROR(D75/0.9,"")</f>
        <v>1.786405033024107E-2</v>
      </c>
      <c r="G75" t="str">
        <f>IF(F75="","заполните матрицу",IF(F75&lt;=0.1,"согласовано","CR &gt; 0,1: пересмотреть"))</f>
        <v>согласовано</v>
      </c>
    </row>
    <row r="82" spans="1:8" ht="17.399999999999999" x14ac:dyDescent="0.35">
      <c r="A82" s="1" t="s">
        <v>49</v>
      </c>
    </row>
    <row r="83" spans="1:8" ht="45" customHeight="1" x14ac:dyDescent="0.3">
      <c r="A83" s="4" t="s">
        <v>50</v>
      </c>
      <c r="B83" s="5" t="str">
        <f>Справочник!$B$17</f>
        <v>Востребованность</v>
      </c>
      <c r="C83" s="5" t="str">
        <f>Справочник!$B$18</f>
        <v>Простота реализации MVP</v>
      </c>
      <c r="D83" s="5" t="str">
        <f>Справочник!$B$19</f>
        <v>Пригодность для оценки и планирования</v>
      </c>
      <c r="E83" s="5" t="str">
        <f>Справочник!$B$20</f>
        <v>Потенциал монетизации</v>
      </c>
      <c r="F83" s="5" t="str">
        <f>Справочник!$B$21</f>
        <v>Интерес и экспертиза команды</v>
      </c>
      <c r="G83" s="5" t="s">
        <v>51</v>
      </c>
      <c r="H83" s="4" t="s">
        <v>52</v>
      </c>
    </row>
    <row r="84" spans="1:8" x14ac:dyDescent="0.3">
      <c r="A84" s="11" t="s">
        <v>53</v>
      </c>
      <c r="B84" s="12">
        <f>IFERROR($H$6,"")</f>
        <v>0.14236176925832433</v>
      </c>
      <c r="C84" s="12">
        <f>IFERROR($H$7,"")</f>
        <v>0.23501642061397757</v>
      </c>
      <c r="D84" s="12">
        <f>IFERROR($H$8,"")</f>
        <v>0.39701732532332823</v>
      </c>
      <c r="E84" s="12">
        <f>IFERROR($H$9,"")</f>
        <v>8.4962616497448337E-2</v>
      </c>
      <c r="F84" s="12">
        <f>IFERROR($H$10,"")</f>
        <v>0.14064186830692157</v>
      </c>
    </row>
    <row r="85" spans="1:8" x14ac:dyDescent="0.3">
      <c r="A85" s="3" t="str">
        <f>Справочник!$B$10</f>
        <v>Бронь</v>
      </c>
      <c r="B85" s="13">
        <f>IFERROR($G$19,"")</f>
        <v>0.16058931961320086</v>
      </c>
      <c r="C85" s="13">
        <f>IFERROR($G$32,"")</f>
        <v>0.33297272617431234</v>
      </c>
      <c r="D85" s="13">
        <f>IFERROR($G$45,"")</f>
        <v>0.29246700214587729</v>
      </c>
      <c r="E85" s="13">
        <f>IFERROR($G$58,"")</f>
        <v>0.16801847339270448</v>
      </c>
      <c r="F85" s="13">
        <f>IFERROR($G$71,"")</f>
        <v>0.25165621736753696</v>
      </c>
      <c r="G85" s="9">
        <f>IF(COUNT(B85:F85,$B$84:$F$84)&lt;10,"",SUMPRODUCT(B85:F85,$B$84:$F$84))</f>
        <v>0.26689899456995331</v>
      </c>
      <c r="H85" s="14">
        <f>IFERROR(RANK(G85,$G$85:$G$88,0),"")</f>
        <v>2</v>
      </c>
    </row>
    <row r="86" spans="1:8" x14ac:dyDescent="0.3">
      <c r="A86" s="3" t="str">
        <f>Справочник!$B$11</f>
        <v>Бюджет</v>
      </c>
      <c r="B86" s="13">
        <f>IFERROR($G$20,"")</f>
        <v>0.22788149143722586</v>
      </c>
      <c r="C86" s="13">
        <f>IFERROR($G$33,"")</f>
        <v>0.12484128926281071</v>
      </c>
      <c r="D86" s="13">
        <f>IFERROR($G$46,"")</f>
        <v>0.10395054358723384</v>
      </c>
      <c r="E86" s="13">
        <f>IFERROR($G$59,"")</f>
        <v>0.16101622431471654</v>
      </c>
      <c r="F86" s="13">
        <f>IFERROR($G$72,"")</f>
        <v>0.28932828435556801</v>
      </c>
      <c r="G86" s="9">
        <f>IF(COUNT(B86:F86,$B$84:$F$84)&lt;10,"",SUMPRODUCT(B86:F86,$B$84:$F$84))</f>
        <v>0.15742356221264048</v>
      </c>
      <c r="H86" s="14">
        <f>IFERROR(RANK(G86,$G$85:$G$88,0),"")</f>
        <v>4</v>
      </c>
    </row>
    <row r="87" spans="1:8" x14ac:dyDescent="0.3">
      <c r="A87" s="3" t="str">
        <f>Справочник!$B$12</f>
        <v>Запись</v>
      </c>
      <c r="B87" s="13">
        <f>IFERROR($G$21,"")</f>
        <v>0.44648295586167724</v>
      </c>
      <c r="C87" s="13">
        <f>IFERROR($G$34,"")</f>
        <v>0.22200269421876956</v>
      </c>
      <c r="D87" s="13">
        <f>IFERROR($G$47,"")</f>
        <v>0.49569313980562307</v>
      </c>
      <c r="E87" s="13">
        <f>IFERROR($G$60,"")</f>
        <v>0.56707032889375819</v>
      </c>
      <c r="F87" s="13">
        <f>IFERROR($G$73,"")</f>
        <v>0.33263972972254857</v>
      </c>
      <c r="G87" s="9">
        <f>IF(COUNT(B87:F87,$B$84:$F$84)&lt;10,"",SUMPRODUCT(B87:F87,$B$84:$F$84))</f>
        <v>0.40749799859103131</v>
      </c>
      <c r="H87" s="14">
        <f>IFERROR(RANK(G87,$G$85:$G$88,0),"")</f>
        <v>1</v>
      </c>
    </row>
    <row r="88" spans="1:8" x14ac:dyDescent="0.3">
      <c r="A88" s="3" t="str">
        <f>Справочник!$B$13</f>
        <v>Привычки</v>
      </c>
      <c r="B88" s="13">
        <f>IFERROR($G$22,"")</f>
        <v>0.1650462330878959</v>
      </c>
      <c r="C88" s="13">
        <f>IFERROR($G$35,"")</f>
        <v>0.32018329034410736</v>
      </c>
      <c r="D88" s="13">
        <f>IFERROR($G$48,"")</f>
        <v>0.10788931446126585</v>
      </c>
      <c r="E88" s="13">
        <f>IFERROR($G$61,"")</f>
        <v>0.10389497339882076</v>
      </c>
      <c r="F88" s="13">
        <f>IFERROR($G$74,"")</f>
        <v>0.12637576855434657</v>
      </c>
      <c r="G88" s="9">
        <f>IF(COUNT(B88:F88,$B$84:$F$84)&lt;10,"",SUMPRODUCT(B88:F88,$B$84:$F$84))</f>
        <v>0.16817944462637494</v>
      </c>
      <c r="H88" s="14">
        <f>IFERROR(RANK(G88,$G$85:$G$88,0),"")</f>
        <v>3</v>
      </c>
    </row>
    <row r="89" spans="1:8" x14ac:dyDescent="0.3">
      <c r="A89" s="3" t="s">
        <v>54</v>
      </c>
      <c r="G89" s="13">
        <f>SUM(G85:G88)</f>
        <v>1</v>
      </c>
    </row>
    <row r="91" spans="1:8" x14ac:dyDescent="0.3">
      <c r="A91" s="3" t="s">
        <v>55</v>
      </c>
      <c r="B91" s="10">
        <f>IFERROR(MAX($F$11,$F$23,$F$36,$F$49,$F$62,$F$75),"")</f>
        <v>4.0918263965876146E-2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Справочник</vt:lpstr>
      <vt:lpstr>Эксперт1</vt:lpstr>
      <vt:lpstr>Эксперт2</vt:lpstr>
      <vt:lpstr>Эксперт3</vt:lpstr>
      <vt:lpstr>Коллективный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ilona</cp:lastModifiedBy>
  <dcterms:created xsi:type="dcterms:W3CDTF">2026-10-13T09:18:57Z</dcterms:created>
  <dcterms:modified xsi:type="dcterms:W3CDTF">2026-10-27T05:39:03Z</dcterms:modified>
</cp:coreProperties>
</file>