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olina\Downloads\"/>
    </mc:Choice>
  </mc:AlternateContent>
  <bookViews>
    <workbookView xWindow="0" yWindow="0" windowWidth="19200" windowHeight="6930" activeTab="1"/>
  </bookViews>
  <sheets>
    <sheet name="Справочник" sheetId="1" r:id="rId1"/>
    <sheet name="Ввод" sheetId="2" r:id="rId2"/>
    <sheet name="Расчет" sheetId="3" r:id="rId3"/>
  </sheets>
  <calcPr calcId="162913"/>
</workbook>
</file>

<file path=xl/calcChain.xml><?xml version="1.0" encoding="utf-8"?>
<calcChain xmlns="http://schemas.openxmlformats.org/spreadsheetml/2006/main">
  <c r="A46" i="3" l="1"/>
  <c r="A45" i="3"/>
  <c r="A44" i="3"/>
  <c r="A43" i="3"/>
  <c r="F37" i="3"/>
  <c r="E37" i="3"/>
  <c r="D37" i="3"/>
  <c r="C37" i="3"/>
  <c r="B37" i="3"/>
  <c r="A34" i="3"/>
  <c r="A33" i="3"/>
  <c r="A32" i="3"/>
  <c r="A31" i="3"/>
  <c r="N29" i="3"/>
  <c r="K29" i="3"/>
  <c r="H29" i="3"/>
  <c r="E29" i="3"/>
  <c r="B29" i="3"/>
  <c r="A26" i="3"/>
  <c r="A25" i="3"/>
  <c r="A24" i="3"/>
  <c r="A23" i="3"/>
  <c r="N21" i="3"/>
  <c r="K21" i="3"/>
  <c r="H21" i="3"/>
  <c r="E21" i="3"/>
  <c r="B21" i="3"/>
  <c r="P18" i="3"/>
  <c r="O18" i="3"/>
  <c r="N18" i="3"/>
  <c r="M18" i="3"/>
  <c r="L18" i="3"/>
  <c r="K18" i="3"/>
  <c r="J18" i="3"/>
  <c r="I18" i="3"/>
  <c r="I26" i="3" s="1"/>
  <c r="H18" i="3"/>
  <c r="H26" i="3" s="1"/>
  <c r="G18" i="3"/>
  <c r="F18" i="3"/>
  <c r="E18" i="3"/>
  <c r="D18" i="3"/>
  <c r="C18" i="3"/>
  <c r="B18" i="3"/>
  <c r="A18" i="3"/>
  <c r="P17" i="3"/>
  <c r="O17" i="3"/>
  <c r="N17" i="3"/>
  <c r="M17" i="3"/>
  <c r="L17" i="3"/>
  <c r="K17" i="3"/>
  <c r="J17" i="3"/>
  <c r="I17" i="3"/>
  <c r="H17" i="3"/>
  <c r="G17" i="3"/>
  <c r="F17" i="3"/>
  <c r="E17" i="3"/>
  <c r="D17" i="3"/>
  <c r="C17" i="3"/>
  <c r="B17" i="3"/>
  <c r="A17" i="3"/>
  <c r="P16" i="3"/>
  <c r="P24" i="3" s="1"/>
  <c r="O16" i="3"/>
  <c r="N16" i="3"/>
  <c r="M16" i="3"/>
  <c r="L16" i="3"/>
  <c r="K16" i="3"/>
  <c r="J16" i="3"/>
  <c r="I16" i="3"/>
  <c r="H16" i="3"/>
  <c r="G16" i="3"/>
  <c r="F16" i="3"/>
  <c r="E16" i="3"/>
  <c r="D16" i="3"/>
  <c r="D24" i="3" s="1"/>
  <c r="D32" i="3" s="1"/>
  <c r="C16" i="3"/>
  <c r="B16" i="3"/>
  <c r="A16" i="3"/>
  <c r="P15" i="3"/>
  <c r="O15" i="3"/>
  <c r="N15" i="3"/>
  <c r="M15" i="3"/>
  <c r="L15" i="3"/>
  <c r="K15" i="3"/>
  <c r="J15" i="3"/>
  <c r="J23" i="3" s="1"/>
  <c r="I15" i="3"/>
  <c r="I23" i="3" s="1"/>
  <c r="H15" i="3"/>
  <c r="H23" i="3" s="1"/>
  <c r="G15" i="3"/>
  <c r="G23" i="3" s="1"/>
  <c r="G31" i="3" s="1"/>
  <c r="F15" i="3"/>
  <c r="E15" i="3"/>
  <c r="D15" i="3"/>
  <c r="C15" i="3"/>
  <c r="B15" i="3"/>
  <c r="A15" i="3"/>
  <c r="N13" i="3"/>
  <c r="K13" i="3"/>
  <c r="H13" i="3"/>
  <c r="E13" i="3"/>
  <c r="B13" i="3"/>
  <c r="D10" i="3"/>
  <c r="G10" i="3" s="1"/>
  <c r="C10" i="3"/>
  <c r="F10" i="3" s="1"/>
  <c r="B10" i="3"/>
  <c r="E10" i="3" s="1"/>
  <c r="A10" i="3"/>
  <c r="D9" i="3"/>
  <c r="G9" i="3" s="1"/>
  <c r="C9" i="3"/>
  <c r="F9" i="3" s="1"/>
  <c r="B9" i="3"/>
  <c r="E9" i="3" s="1"/>
  <c r="A9" i="3"/>
  <c r="D8" i="3"/>
  <c r="G8" i="3" s="1"/>
  <c r="C8" i="3"/>
  <c r="F8" i="3" s="1"/>
  <c r="B8" i="3"/>
  <c r="E8" i="3" s="1"/>
  <c r="A8" i="3"/>
  <c r="D7" i="3"/>
  <c r="G7" i="3" s="1"/>
  <c r="C7" i="3"/>
  <c r="F7" i="3" s="1"/>
  <c r="B7" i="3"/>
  <c r="E7" i="3" s="1"/>
  <c r="A7" i="3"/>
  <c r="D6" i="3"/>
  <c r="G6" i="3" s="1"/>
  <c r="C6" i="3"/>
  <c r="F6" i="3" s="1"/>
  <c r="B6" i="3"/>
  <c r="E6" i="3" s="1"/>
  <c r="A6" i="3"/>
  <c r="A37" i="2"/>
  <c r="A36" i="2"/>
  <c r="A35" i="2"/>
  <c r="A34" i="2"/>
  <c r="F33" i="2"/>
  <c r="E33" i="2"/>
  <c r="D33" i="2"/>
  <c r="C33" i="2"/>
  <c r="B33" i="2"/>
  <c r="F30" i="2"/>
  <c r="E30" i="2"/>
  <c r="D30" i="2"/>
  <c r="C30" i="2"/>
  <c r="B30" i="2"/>
  <c r="A29" i="2"/>
  <c r="A24" i="2"/>
  <c r="A23" i="2"/>
  <c r="A22" i="2"/>
  <c r="A21" i="2"/>
  <c r="F20" i="2"/>
  <c r="E20" i="2"/>
  <c r="D20" i="2"/>
  <c r="C20" i="2"/>
  <c r="B20" i="2"/>
  <c r="F17" i="2"/>
  <c r="E17" i="2"/>
  <c r="D17" i="2"/>
  <c r="C17" i="2"/>
  <c r="B17" i="2"/>
  <c r="A16" i="2"/>
  <c r="A11" i="2"/>
  <c r="A10" i="2"/>
  <c r="A9" i="2"/>
  <c r="A8" i="2"/>
  <c r="F7" i="2"/>
  <c r="E7" i="2"/>
  <c r="D7" i="2"/>
  <c r="C7" i="2"/>
  <c r="B7" i="2"/>
  <c r="F4" i="2"/>
  <c r="E4" i="2"/>
  <c r="D4" i="2"/>
  <c r="C4" i="2"/>
  <c r="B4" i="2"/>
  <c r="A3" i="2"/>
  <c r="N24" i="3" l="1"/>
  <c r="N32" i="3" s="1"/>
  <c r="O24" i="3"/>
  <c r="I25" i="3"/>
  <c r="I33" i="3" s="1"/>
  <c r="J25" i="3"/>
  <c r="C24" i="3"/>
  <c r="B25" i="3"/>
  <c r="B33" i="3" s="1"/>
  <c r="C25" i="3"/>
  <c r="C33" i="3" s="1"/>
  <c r="D25" i="3"/>
  <c r="D33" i="3" s="1"/>
  <c r="B23" i="3"/>
  <c r="B26" i="3"/>
  <c r="C23" i="3"/>
  <c r="C31" i="3" s="1"/>
  <c r="C26" i="3"/>
  <c r="C34" i="3" s="1"/>
  <c r="D23" i="3"/>
  <c r="D31" i="3" s="1"/>
  <c r="B24" i="3"/>
  <c r="B32" i="3" s="1"/>
  <c r="L25" i="3"/>
  <c r="L33" i="3" s="1"/>
  <c r="M25" i="3"/>
  <c r="M33" i="3" s="1"/>
  <c r="N25" i="3"/>
  <c r="N33" i="3" s="1"/>
  <c r="O25" i="3"/>
  <c r="O33" i="3" s="1"/>
  <c r="P25" i="3"/>
  <c r="P33" i="3" s="1"/>
  <c r="K23" i="3"/>
  <c r="K26" i="3"/>
  <c r="K34" i="3" s="1"/>
  <c r="M23" i="3"/>
  <c r="M31" i="3" s="1"/>
  <c r="N23" i="3"/>
  <c r="N31" i="3" s="1"/>
  <c r="N26" i="3"/>
  <c r="N34" i="3" s="1"/>
  <c r="O23" i="3"/>
  <c r="O31" i="3" s="1"/>
  <c r="O26" i="3"/>
  <c r="O34" i="3" s="1"/>
  <c r="P23" i="3"/>
  <c r="P26" i="3"/>
  <c r="P34" i="3" s="1"/>
  <c r="L23" i="3"/>
  <c r="L31" i="3" s="1"/>
  <c r="L26" i="3"/>
  <c r="M26" i="3"/>
  <c r="M34" i="3" s="1"/>
  <c r="K24" i="3"/>
  <c r="K32" i="3" s="1"/>
  <c r="L24" i="3"/>
  <c r="L32" i="3" s="1"/>
  <c r="M24" i="3"/>
  <c r="M32" i="3" s="1"/>
  <c r="K25" i="3"/>
  <c r="K33" i="3" s="1"/>
  <c r="J26" i="3"/>
  <c r="J34" i="3" s="1"/>
  <c r="H24" i="3"/>
  <c r="H32" i="3" s="1"/>
  <c r="I24" i="3"/>
  <c r="I32" i="3" s="1"/>
  <c r="J24" i="3"/>
  <c r="J32" i="3" s="1"/>
  <c r="H25" i="3"/>
  <c r="H33" i="3" s="1"/>
  <c r="G26" i="3"/>
  <c r="G34" i="3" s="1"/>
  <c r="E24" i="3"/>
  <c r="E32" i="3" s="1"/>
  <c r="F24" i="3"/>
  <c r="F32" i="3" s="1"/>
  <c r="G24" i="3"/>
  <c r="E25" i="3"/>
  <c r="F25" i="3"/>
  <c r="G25" i="3"/>
  <c r="G33" i="3" s="1"/>
  <c r="E23" i="3"/>
  <c r="E31" i="3" s="1"/>
  <c r="E26" i="3"/>
  <c r="E34" i="3" s="1"/>
  <c r="F23" i="3"/>
  <c r="F31" i="3" s="1"/>
  <c r="F26" i="3"/>
  <c r="F34" i="3" s="1"/>
  <c r="D26" i="3"/>
  <c r="D34" i="3" s="1"/>
  <c r="P32" i="3"/>
  <c r="P31" i="3"/>
  <c r="L34" i="3"/>
  <c r="E33" i="3"/>
  <c r="F33" i="3"/>
  <c r="C32" i="3"/>
  <c r="J31" i="3"/>
  <c r="K31" i="3"/>
  <c r="G32" i="3"/>
  <c r="O32" i="3"/>
  <c r="B34" i="3"/>
  <c r="H31" i="3"/>
  <c r="H34" i="3"/>
  <c r="I31" i="3"/>
  <c r="I34" i="3"/>
  <c r="B31" i="3"/>
  <c r="J33" i="3"/>
  <c r="F39" i="3" l="1"/>
  <c r="F38" i="3"/>
  <c r="C39" i="3"/>
  <c r="E38" i="3"/>
  <c r="C38" i="3"/>
  <c r="B39" i="3"/>
  <c r="B38" i="3"/>
  <c r="D39" i="3"/>
  <c r="E39" i="3"/>
  <c r="D38" i="3"/>
  <c r="B46" i="3" l="1"/>
  <c r="C43" i="3"/>
  <c r="B45" i="3"/>
  <c r="C45" i="3"/>
  <c r="C46" i="3"/>
  <c r="B44" i="3"/>
  <c r="C44" i="3"/>
  <c r="B43" i="3"/>
  <c r="D44" i="3" l="1"/>
  <c r="E44" i="3" s="1"/>
  <c r="D46" i="3"/>
  <c r="E46" i="3" s="1"/>
  <c r="D45" i="3"/>
  <c r="E45" i="3" s="1"/>
  <c r="D43" i="3"/>
  <c r="E43" i="3" s="1"/>
</calcChain>
</file>

<file path=xl/sharedStrings.xml><?xml version="1.0" encoding="utf-8"?>
<sst xmlns="http://schemas.openxmlformats.org/spreadsheetml/2006/main" count="123" uniqueCount="62">
  <si>
    <t>Справочник: эксперты, альтернативы, критерии</t>
  </si>
  <si>
    <t>Названия меняются только здесь, остальные листы ссылаются на них формулами.</t>
  </si>
  <si>
    <t>Эксперты</t>
  </si>
  <si>
    <t>Э1</t>
  </si>
  <si>
    <t>Петров Артем</t>
  </si>
  <si>
    <t>Э2</t>
  </si>
  <si>
    <t>Попова Полина</t>
  </si>
  <si>
    <t>Э3</t>
  </si>
  <si>
    <t>Пауликайте Елона</t>
  </si>
  <si>
    <t>Код</t>
  </si>
  <si>
    <t>Альтернатива (кратко)</t>
  </si>
  <si>
    <t>Описание</t>
  </si>
  <si>
    <t>A1</t>
  </si>
  <si>
    <t>Бронь</t>
  </si>
  <si>
    <t>Бронирование переговорных и рабочих мест</t>
  </si>
  <si>
    <t>A2</t>
  </si>
  <si>
    <t>Бюджет</t>
  </si>
  <si>
    <t>Совместный семейный бюджет</t>
  </si>
  <si>
    <t>A3</t>
  </si>
  <si>
    <t>Запись</t>
  </si>
  <si>
    <t>Онлайн-запись к мастеру</t>
  </si>
  <si>
    <t>A4</t>
  </si>
  <si>
    <t>Привычки</t>
  </si>
  <si>
    <t>Трекер привычек с челленджами</t>
  </si>
  <si>
    <t>Критерий</t>
  </si>
  <si>
    <t>Тип (+ польза / - затраты)</t>
  </si>
  <si>
    <t>K1</t>
  </si>
  <si>
    <t>Востребованность</t>
  </si>
  <si>
    <t>+</t>
  </si>
  <si>
    <t>K2</t>
  </si>
  <si>
    <t>Простота реализации MVP</t>
  </si>
  <si>
    <t>K3</t>
  </si>
  <si>
    <t>Пригодность для оценки и планирования</t>
  </si>
  <si>
    <t>K4</t>
  </si>
  <si>
    <t>Потенциал монетизации</t>
  </si>
  <si>
    <t>K5</t>
  </si>
  <si>
    <t>Интерес и экспертиза команды</t>
  </si>
  <si>
    <t>Экспертные оценки по шкале 1-9 (заполнить желтые ячейки)</t>
  </si>
  <si>
    <t>Важность критериев</t>
  </si>
  <si>
    <t>Оценка 1-9</t>
  </si>
  <si>
    <t>Альтернатива \ критерий</t>
  </si>
  <si>
    <t>Нечеткий коллективный TOPSIS</t>
  </si>
  <si>
    <t>ТНЧ = (MIN; MEDIAN; MAX) трех экспертных оценок = (пессимистичная; ожидаемая; оптимистичная)</t>
  </si>
  <si>
    <t>1. Нечеткие веса критериев</t>
  </si>
  <si>
    <t>l</t>
  </si>
  <si>
    <t>m</t>
  </si>
  <si>
    <t>u</t>
  </si>
  <si>
    <t>w_l = l/9</t>
  </si>
  <si>
    <t>w_m = m/9</t>
  </si>
  <si>
    <t>w_u = u/9</t>
  </si>
  <si>
    <t>2. Нечеткая матрица решений (агрегированные оценки)</t>
  </si>
  <si>
    <t>Альтернатива</t>
  </si>
  <si>
    <t>3. Нормализованная матрица (польза: x/max u; затраты: min l/x в обратном порядке)</t>
  </si>
  <si>
    <t>4. Взвешенная нормализованная матрица (покомпонентно на нечеткий вес)</t>
  </si>
  <si>
    <t>5. Идеальные решения: A+ = max u по критерию, A- = min l по критерию</t>
  </si>
  <si>
    <t>A+</t>
  </si>
  <si>
    <t>A-</t>
  </si>
  <si>
    <t>6. Расстояния и коэффициент относительной близости CC = d- / (d+ + d-)</t>
  </si>
  <si>
    <t>d+</t>
  </si>
  <si>
    <t>d-</t>
  </si>
  <si>
    <t>CC</t>
  </si>
  <si>
    <t>Ранг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</si>
</sst>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000"/>
  </numFmts>
  <fonts count="3" x14ac:knownFonts="1">
    <font>
      <sz val="11"/>
      <color theme="1"/>
      <name val="Calibri"/>
      <family val="2"/>
      <scheme val="minor"/>
    </font>
    <font>
      <b/>
      <sz val="13"/>
      <name val="Calibri"/>
    </font>
    <font>
      <b/>
      <sz val="11"/>
      <name val="Calibri"/>
    </font>
  </fonts>
  <fills count="5">
    <fill>
      <patternFill patternType="none"/>
    </fill>
    <fill>
      <patternFill patternType="gray125"/>
    </fill>
    <fill>
      <patternFill patternType="solid">
        <fgColor rgb="FFE7E6E6"/>
      </patternFill>
    </fill>
    <fill>
      <patternFill patternType="solid">
        <fgColor rgb="FFFFF2CC"/>
      </patternFill>
    </fill>
    <fill>
      <patternFill patternType="solid">
        <fgColor rgb="FFE2EFDA"/>
      </patternFill>
    </fill>
  </fills>
  <borders count="4">
    <border>
      <left/>
      <right/>
      <top/>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0" fillId="0" borderId="1" xfId="0" applyBorder="1"/>
    <xf numFmtId="0" fontId="2" fillId="2" borderId="1" xfId="0" applyFont="1" applyFill="1" applyBorder="1"/>
    <xf numFmtId="0" fontId="2" fillId="2" borderId="1" xfId="0" applyFont="1" applyFill="1" applyBorder="1" applyAlignment="1">
      <alignment wrapText="1"/>
    </xf>
    <xf numFmtId="0" fontId="0" fillId="3" borderId="1" xfId="0" applyFill="1" applyBorder="1"/>
    <xf numFmtId="164" fontId="0" fillId="0" borderId="1" xfId="0" applyNumberFormat="1" applyBorder="1"/>
    <xf numFmtId="165" fontId="0" fillId="0" borderId="1" xfId="0" applyNumberFormat="1" applyBorder="1"/>
    <xf numFmtId="0" fontId="2" fillId="0" borderId="1" xfId="0" applyFont="1" applyBorder="1"/>
    <xf numFmtId="165" fontId="0" fillId="4" borderId="1" xfId="0" applyNumberFormat="1" applyFill="1" applyBorder="1"/>
    <xf numFmtId="0" fontId="0" fillId="4" borderId="1" xfId="0" applyFill="1" applyBorder="1"/>
    <xf numFmtId="0" fontId="2" fillId="2" borderId="1" xfId="0" applyFont="1" applyFill="1" applyBorder="1"/>
    <xf numFmtId="0" fontId="0" fillId="0" borderId="2" xfId="0" applyBorder="1"/>
    <xf numFmtId="0" fontId="0" fillId="0" borderId="3" xfId="0" applyBorder="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workbookViewId="0"/>
  </sheetViews>
  <sheetFormatPr defaultRowHeight="14.5" x14ac:dyDescent="0.35"/>
  <cols>
    <col min="1" max="1" width="8" customWidth="1"/>
    <col min="2" max="2" width="40" customWidth="1"/>
    <col min="3" max="3" width="45" customWidth="1"/>
  </cols>
  <sheetData>
    <row r="1" spans="1:3" ht="17" x14ac:dyDescent="0.4">
      <c r="A1" s="1" t="s">
        <v>0</v>
      </c>
    </row>
    <row r="2" spans="1:3" x14ac:dyDescent="0.35">
      <c r="A2" t="s">
        <v>1</v>
      </c>
    </row>
    <row r="3" spans="1:3" x14ac:dyDescent="0.35">
      <c r="A3" s="2" t="s">
        <v>2</v>
      </c>
    </row>
    <row r="4" spans="1:3" x14ac:dyDescent="0.35">
      <c r="A4" s="3" t="s">
        <v>3</v>
      </c>
      <c r="B4" s="3" t="s">
        <v>4</v>
      </c>
    </row>
    <row r="5" spans="1:3" x14ac:dyDescent="0.35">
      <c r="A5" s="3" t="s">
        <v>5</v>
      </c>
      <c r="B5" s="3" t="s">
        <v>6</v>
      </c>
    </row>
    <row r="6" spans="1:3" x14ac:dyDescent="0.35">
      <c r="A6" s="3" t="s">
        <v>7</v>
      </c>
      <c r="B6" s="3" t="s">
        <v>8</v>
      </c>
    </row>
    <row r="9" spans="1:3" x14ac:dyDescent="0.35">
      <c r="A9" s="4" t="s">
        <v>9</v>
      </c>
      <c r="B9" s="4" t="s">
        <v>10</v>
      </c>
      <c r="C9" s="4" t="s">
        <v>11</v>
      </c>
    </row>
    <row r="10" spans="1:3" x14ac:dyDescent="0.35">
      <c r="A10" s="3" t="s">
        <v>12</v>
      </c>
      <c r="B10" s="3" t="s">
        <v>13</v>
      </c>
      <c r="C10" s="3" t="s">
        <v>14</v>
      </c>
    </row>
    <row r="11" spans="1:3" x14ac:dyDescent="0.35">
      <c r="A11" s="3" t="s">
        <v>15</v>
      </c>
      <c r="B11" s="3" t="s">
        <v>16</v>
      </c>
      <c r="C11" s="3" t="s">
        <v>17</v>
      </c>
    </row>
    <row r="12" spans="1:3" x14ac:dyDescent="0.35">
      <c r="A12" s="3" t="s">
        <v>18</v>
      </c>
      <c r="B12" s="3" t="s">
        <v>19</v>
      </c>
      <c r="C12" s="3" t="s">
        <v>20</v>
      </c>
    </row>
    <row r="13" spans="1:3" x14ac:dyDescent="0.35">
      <c r="A13" s="3" t="s">
        <v>21</v>
      </c>
      <c r="B13" s="3" t="s">
        <v>22</v>
      </c>
      <c r="C13" s="3" t="s">
        <v>23</v>
      </c>
    </row>
    <row r="16" spans="1:3" x14ac:dyDescent="0.35">
      <c r="A16" s="4" t="s">
        <v>9</v>
      </c>
      <c r="B16" s="4" t="s">
        <v>24</v>
      </c>
      <c r="C16" s="4" t="s">
        <v>25</v>
      </c>
    </row>
    <row r="17" spans="1:3" x14ac:dyDescent="0.35">
      <c r="A17" s="3" t="s">
        <v>26</v>
      </c>
      <c r="B17" s="3" t="s">
        <v>27</v>
      </c>
      <c r="C17" s="3" t="s">
        <v>28</v>
      </c>
    </row>
    <row r="18" spans="1:3" x14ac:dyDescent="0.35">
      <c r="A18" s="3" t="s">
        <v>29</v>
      </c>
      <c r="B18" s="3" t="s">
        <v>30</v>
      </c>
      <c r="C18" s="3" t="s">
        <v>28</v>
      </c>
    </row>
    <row r="19" spans="1:3" x14ac:dyDescent="0.35">
      <c r="A19" s="3" t="s">
        <v>31</v>
      </c>
      <c r="B19" s="3" t="s">
        <v>32</v>
      </c>
      <c r="C19" s="3" t="s">
        <v>28</v>
      </c>
    </row>
    <row r="20" spans="1:3" x14ac:dyDescent="0.35">
      <c r="A20" s="3" t="s">
        <v>33</v>
      </c>
      <c r="B20" s="3" t="s">
        <v>34</v>
      </c>
      <c r="C20" s="3" t="s">
        <v>28</v>
      </c>
    </row>
    <row r="21" spans="1:3" x14ac:dyDescent="0.35">
      <c r="A21" s="3" t="s">
        <v>35</v>
      </c>
      <c r="B21" s="3" t="s">
        <v>36</v>
      </c>
      <c r="C21" s="3"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abSelected="1" topLeftCell="A16" workbookViewId="0">
      <selection activeCell="F25" sqref="F25"/>
    </sheetView>
  </sheetViews>
  <sheetFormatPr defaultRowHeight="14.5" x14ac:dyDescent="0.35"/>
  <cols>
    <col min="1" max="1" width="26" customWidth="1"/>
    <col min="2" max="6" width="18" customWidth="1"/>
  </cols>
  <sheetData>
    <row r="1" spans="1:6" ht="17" x14ac:dyDescent="0.4">
      <c r="A1" s="1" t="s">
        <v>37</v>
      </c>
    </row>
    <row r="3" spans="1:6" x14ac:dyDescent="0.35">
      <c r="A3" s="2" t="str">
        <f>"Эксперт 1: "&amp;Справочник!$B$4</f>
        <v>Эксперт 1: Петров Артем</v>
      </c>
    </row>
    <row r="4" spans="1:6" ht="32" customHeight="1" x14ac:dyDescent="0.35">
      <c r="A4" s="4" t="s">
        <v>38</v>
      </c>
      <c r="B4" s="5" t="str">
        <f>Справочник!$B$17</f>
        <v>Востребованность</v>
      </c>
      <c r="C4" s="5" t="str">
        <f>Справочник!$B$18</f>
        <v>Простота реализации MVP</v>
      </c>
      <c r="D4" s="5" t="str">
        <f>Справочник!$B$19</f>
        <v>Пригодность для оценки и планирования</v>
      </c>
      <c r="E4" s="5" t="str">
        <f>Справочник!$B$20</f>
        <v>Потенциал монетизации</v>
      </c>
      <c r="F4" s="5" t="str">
        <f>Справочник!$B$21</f>
        <v>Интерес и экспертиза команды</v>
      </c>
    </row>
    <row r="5" spans="1:6" x14ac:dyDescent="0.35">
      <c r="A5" s="3" t="s">
        <v>39</v>
      </c>
      <c r="B5" s="6">
        <v>6</v>
      </c>
      <c r="C5" s="6">
        <v>7</v>
      </c>
      <c r="D5" s="6">
        <v>9</v>
      </c>
      <c r="E5" s="6">
        <v>4</v>
      </c>
      <c r="F5" s="6">
        <v>6</v>
      </c>
    </row>
    <row r="7" spans="1:6" ht="32" customHeight="1" x14ac:dyDescent="0.35">
      <c r="A7" s="4" t="s">
        <v>40</v>
      </c>
      <c r="B7" s="5" t="str">
        <f>Справочник!$B$17</f>
        <v>Востребованность</v>
      </c>
      <c r="C7" s="5" t="str">
        <f>Справочник!$B$18</f>
        <v>Простота реализации MVP</v>
      </c>
      <c r="D7" s="5" t="str">
        <f>Справочник!$B$19</f>
        <v>Пригодность для оценки и планирования</v>
      </c>
      <c r="E7" s="5" t="str">
        <f>Справочник!$B$20</f>
        <v>Потенциал монетизации</v>
      </c>
      <c r="F7" s="5" t="str">
        <f>Справочник!$B$21</f>
        <v>Интерес и экспертиза команды</v>
      </c>
    </row>
    <row r="8" spans="1:6" x14ac:dyDescent="0.35">
      <c r="A8" s="3" t="str">
        <f>Справочник!$B$10</f>
        <v>Бронь</v>
      </c>
      <c r="B8" s="6">
        <v>6</v>
      </c>
      <c r="C8" s="6">
        <v>7</v>
      </c>
      <c r="D8" s="6">
        <v>8</v>
      </c>
      <c r="E8" s="6">
        <v>5</v>
      </c>
      <c r="F8" s="6">
        <v>6</v>
      </c>
    </row>
    <row r="9" spans="1:6" x14ac:dyDescent="0.35">
      <c r="A9" s="3" t="str">
        <f>Справочник!$B$11</f>
        <v>Бюджет</v>
      </c>
      <c r="B9" s="6">
        <v>7</v>
      </c>
      <c r="C9" s="6">
        <v>6</v>
      </c>
      <c r="D9" s="6">
        <v>6</v>
      </c>
      <c r="E9" s="6">
        <v>5</v>
      </c>
      <c r="F9" s="6">
        <v>7</v>
      </c>
    </row>
    <row r="10" spans="1:6" x14ac:dyDescent="0.35">
      <c r="A10" s="3" t="str">
        <f>Справочник!$B$12</f>
        <v>Запись</v>
      </c>
      <c r="B10" s="6">
        <v>8</v>
      </c>
      <c r="C10" s="6">
        <v>6</v>
      </c>
      <c r="D10" s="6">
        <v>9</v>
      </c>
      <c r="E10" s="6">
        <v>8</v>
      </c>
      <c r="F10" s="6">
        <v>6</v>
      </c>
    </row>
    <row r="11" spans="1:6" x14ac:dyDescent="0.35">
      <c r="A11" s="3" t="str">
        <f>Справочник!$B$13</f>
        <v>Привычки</v>
      </c>
      <c r="B11" s="6">
        <v>6</v>
      </c>
      <c r="C11" s="6">
        <v>8</v>
      </c>
      <c r="D11" s="6">
        <v>6</v>
      </c>
      <c r="E11" s="6">
        <v>4</v>
      </c>
      <c r="F11" s="6">
        <v>5</v>
      </c>
    </row>
    <row r="16" spans="1:6" x14ac:dyDescent="0.35">
      <c r="A16" s="2" t="str">
        <f>"Эксперт 2: "&amp;Справочник!$B$5</f>
        <v>Эксперт 2: Попова Полина</v>
      </c>
    </row>
    <row r="17" spans="1:6" ht="32" customHeight="1" x14ac:dyDescent="0.35">
      <c r="A17" s="4" t="s">
        <v>38</v>
      </c>
      <c r="B17" s="5" t="str">
        <f>Справочник!$B$17</f>
        <v>Востребованность</v>
      </c>
      <c r="C17" s="5" t="str">
        <f>Справочник!$B$18</f>
        <v>Простота реализации MVP</v>
      </c>
      <c r="D17" s="5" t="str">
        <f>Справочник!$B$19</f>
        <v>Пригодность для оценки и планирования</v>
      </c>
      <c r="E17" s="5" t="str">
        <f>Справочник!$B$20</f>
        <v>Потенциал монетизации</v>
      </c>
      <c r="F17" s="5" t="str">
        <f>Справочник!$B$21</f>
        <v>Интерес и экспертиза команды</v>
      </c>
    </row>
    <row r="18" spans="1:6" x14ac:dyDescent="0.35">
      <c r="A18" s="3" t="s">
        <v>39</v>
      </c>
      <c r="B18" s="6">
        <v>7</v>
      </c>
      <c r="C18" s="6">
        <v>6</v>
      </c>
      <c r="D18" s="6">
        <v>7</v>
      </c>
      <c r="E18" s="6">
        <v>5</v>
      </c>
      <c r="F18" s="6">
        <v>7</v>
      </c>
    </row>
    <row r="20" spans="1:6" ht="32" customHeight="1" x14ac:dyDescent="0.35">
      <c r="A20" s="4" t="s">
        <v>40</v>
      </c>
      <c r="B20" s="5" t="str">
        <f>Справочник!$B$17</f>
        <v>Востребованность</v>
      </c>
      <c r="C20" s="5" t="str">
        <f>Справочник!$B$18</f>
        <v>Простота реализации MVP</v>
      </c>
      <c r="D20" s="5" t="str">
        <f>Справочник!$B$19</f>
        <v>Пригодность для оценки и планирования</v>
      </c>
      <c r="E20" s="5" t="str">
        <f>Справочник!$B$20</f>
        <v>Потенциал монетизации</v>
      </c>
      <c r="F20" s="5" t="str">
        <f>Справочник!$B$21</f>
        <v>Интерес и экспертиза команды</v>
      </c>
    </row>
    <row r="21" spans="1:6" x14ac:dyDescent="0.35">
      <c r="A21" s="3" t="str">
        <f>Справочник!$B$10</f>
        <v>Бронь</v>
      </c>
      <c r="B21" s="6">
        <v>5</v>
      </c>
      <c r="C21" s="6">
        <v>8</v>
      </c>
      <c r="D21" s="6">
        <v>8</v>
      </c>
      <c r="E21" s="6">
        <v>6</v>
      </c>
      <c r="F21" s="6">
        <v>6</v>
      </c>
    </row>
    <row r="22" spans="1:6" x14ac:dyDescent="0.35">
      <c r="A22" s="3" t="str">
        <f>Справочник!$B$11</f>
        <v>Бюджет</v>
      </c>
      <c r="B22" s="6">
        <v>6</v>
      </c>
      <c r="C22" s="6">
        <v>5</v>
      </c>
      <c r="D22" s="6">
        <v>5</v>
      </c>
      <c r="E22" s="6">
        <v>5</v>
      </c>
      <c r="F22" s="6">
        <v>7</v>
      </c>
    </row>
    <row r="23" spans="1:6" x14ac:dyDescent="0.35">
      <c r="A23" s="3" t="str">
        <f>Справочник!$B$12</f>
        <v>Запись</v>
      </c>
      <c r="B23" s="6">
        <v>8</v>
      </c>
      <c r="C23" s="6">
        <v>6</v>
      </c>
      <c r="D23" s="6">
        <v>9</v>
      </c>
      <c r="E23" s="6">
        <v>5</v>
      </c>
      <c r="F23" s="6">
        <v>7</v>
      </c>
    </row>
    <row r="24" spans="1:6" x14ac:dyDescent="0.35">
      <c r="A24" s="3" t="str">
        <f>Справочник!$B$13</f>
        <v>Привычки</v>
      </c>
      <c r="B24" s="6">
        <v>6</v>
      </c>
      <c r="C24" s="6">
        <v>8</v>
      </c>
      <c r="D24" s="6">
        <v>5</v>
      </c>
      <c r="E24" s="6">
        <v>5</v>
      </c>
      <c r="F24" s="6">
        <v>5</v>
      </c>
    </row>
    <row r="29" spans="1:6" x14ac:dyDescent="0.35">
      <c r="A29" s="2" t="str">
        <f>"Эксперт 3: "&amp;Справочник!$B$6</f>
        <v>Эксперт 3: Пауликайте Елона</v>
      </c>
    </row>
    <row r="30" spans="1:6" ht="32" customHeight="1" x14ac:dyDescent="0.35">
      <c r="A30" s="4" t="s">
        <v>38</v>
      </c>
      <c r="B30" s="5" t="str">
        <f>Справочник!$B$17</f>
        <v>Востребованность</v>
      </c>
      <c r="C30" s="5" t="str">
        <f>Справочник!$B$18</f>
        <v>Простота реализации MVP</v>
      </c>
      <c r="D30" s="5" t="str">
        <f>Справочник!$B$19</f>
        <v>Пригодность для оценки и планирования</v>
      </c>
      <c r="E30" s="5" t="str">
        <f>Справочник!$B$20</f>
        <v>Потенциал монетизации</v>
      </c>
      <c r="F30" s="5" t="str">
        <f>Справочник!$B$21</f>
        <v>Интерес и экспертиза команды</v>
      </c>
    </row>
    <row r="31" spans="1:6" x14ac:dyDescent="0.35">
      <c r="A31" s="3" t="s">
        <v>39</v>
      </c>
      <c r="B31" s="6"/>
      <c r="C31" s="6"/>
      <c r="D31" s="6"/>
      <c r="E31" s="6"/>
      <c r="F31" s="6"/>
    </row>
    <row r="33" spans="1:6" ht="32" customHeight="1" x14ac:dyDescent="0.35">
      <c r="A33" s="4" t="s">
        <v>40</v>
      </c>
      <c r="B33" s="5" t="str">
        <f>Справочник!$B$17</f>
        <v>Востребованность</v>
      </c>
      <c r="C33" s="5" t="str">
        <f>Справочник!$B$18</f>
        <v>Простота реализации MVP</v>
      </c>
      <c r="D33" s="5" t="str">
        <f>Справочник!$B$19</f>
        <v>Пригодность для оценки и планирования</v>
      </c>
      <c r="E33" s="5" t="str">
        <f>Справочник!$B$20</f>
        <v>Потенциал монетизации</v>
      </c>
      <c r="F33" s="5" t="str">
        <f>Справочник!$B$21</f>
        <v>Интерес и экспертиза команды</v>
      </c>
    </row>
    <row r="34" spans="1:6" x14ac:dyDescent="0.35">
      <c r="A34" s="3" t="str">
        <f>Справочник!$B$10</f>
        <v>Бронь</v>
      </c>
      <c r="B34" s="6"/>
      <c r="C34" s="6"/>
      <c r="D34" s="6"/>
      <c r="E34" s="6"/>
      <c r="F34" s="6"/>
    </row>
    <row r="35" spans="1:6" x14ac:dyDescent="0.35">
      <c r="A35" s="3" t="str">
        <f>Справочник!$B$11</f>
        <v>Бюджет</v>
      </c>
      <c r="B35" s="6"/>
      <c r="C35" s="6"/>
      <c r="D35" s="6"/>
      <c r="E35" s="6"/>
      <c r="F35" s="6"/>
    </row>
    <row r="36" spans="1:6" x14ac:dyDescent="0.35">
      <c r="A36" s="3" t="str">
        <f>Справочник!$B$12</f>
        <v>Запись</v>
      </c>
      <c r="B36" s="6"/>
      <c r="C36" s="6"/>
      <c r="D36" s="6"/>
      <c r="E36" s="6"/>
      <c r="F36" s="6"/>
    </row>
    <row r="37" spans="1:6" x14ac:dyDescent="0.35">
      <c r="A37" s="3" t="str">
        <f>Справочник!$B$13</f>
        <v>Привычки</v>
      </c>
      <c r="B37" s="6"/>
      <c r="C37" s="6"/>
      <c r="D37" s="6"/>
      <c r="E37" s="6"/>
      <c r="F37" s="6"/>
    </row>
  </sheetData>
  <dataValidations count="1">
    <dataValidation type="whole" showErrorMessage="1" error="Целое число от 1 до 9" sqref="B5 B8 B9 B10 B11 B18 B21 B22 B23 B24 B31 B34 B35 B36 B37 C5 C8 C9 C10 C11 C18 C21 C22 C23 C24 C31 C34 C35 C36 C37 D5 D8 D9 D10 D11 D18 D21 D22 D23 D24 D31 D34 D35 D36 D37 E5 E8 E9 E10 E11 E18 E21 E22 E23 E24 E31 E34 E35 E36 E37 F5 F8 F9 F10 F11 F18 F21 F22 F23 F24 F31 F34 F35 F36 F37">
      <formula1>1</formula1>
      <formula2>9</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6"/>
  <sheetViews>
    <sheetView workbookViewId="0"/>
  </sheetViews>
  <sheetFormatPr defaultRowHeight="14.5" x14ac:dyDescent="0.35"/>
  <cols>
    <col min="1" max="1" width="26" customWidth="1"/>
    <col min="2" max="16" width="9" customWidth="1"/>
  </cols>
  <sheetData>
    <row r="1" spans="1:16" ht="17" x14ac:dyDescent="0.4">
      <c r="A1" s="1" t="s">
        <v>41</v>
      </c>
    </row>
    <row r="2" spans="1:16" x14ac:dyDescent="0.35">
      <c r="A2" t="s">
        <v>42</v>
      </c>
    </row>
    <row r="4" spans="1:16" x14ac:dyDescent="0.35">
      <c r="A4" s="2" t="s">
        <v>43</v>
      </c>
    </row>
    <row r="5" spans="1:16" x14ac:dyDescent="0.35">
      <c r="A5" s="4" t="s">
        <v>24</v>
      </c>
      <c r="B5" s="4" t="s">
        <v>44</v>
      </c>
      <c r="C5" s="4" t="s">
        <v>45</v>
      </c>
      <c r="D5" s="4" t="s">
        <v>46</v>
      </c>
      <c r="E5" s="4" t="s">
        <v>47</v>
      </c>
      <c r="F5" s="4" t="s">
        <v>48</v>
      </c>
      <c r="G5" s="4" t="s">
        <v>49</v>
      </c>
    </row>
    <row r="6" spans="1:16" x14ac:dyDescent="0.35">
      <c r="A6" s="3" t="str">
        <f>Справочник!$B$17</f>
        <v>Востребованность</v>
      </c>
      <c r="B6" s="3" t="str">
        <f>IF(COUNT(Ввод!B5,Ввод!B18,Ввод!B31)&lt;3,"",MIN(Ввод!B5,Ввод!B18,Ввод!B31))</f>
        <v/>
      </c>
      <c r="C6" s="3" t="str">
        <f>IF(COUNT(Ввод!B5,Ввод!B18,Ввод!B31)&lt;3,"",MEDIAN(Ввод!B5,Ввод!B18,Ввод!B31))</f>
        <v/>
      </c>
      <c r="D6" s="3" t="str">
        <f>IF(COUNT(Ввод!B5,Ввод!B18,Ввод!B31)&lt;3,"",MAX(Ввод!B5,Ввод!B18,Ввод!B31))</f>
        <v/>
      </c>
      <c r="E6" s="7" t="str">
        <f t="shared" ref="E6:G10" si="0">IFERROR(B6/9,"")</f>
        <v/>
      </c>
      <c r="F6" s="7" t="str">
        <f t="shared" si="0"/>
        <v/>
      </c>
      <c r="G6" s="7" t="str">
        <f t="shared" si="0"/>
        <v/>
      </c>
    </row>
    <row r="7" spans="1:16" x14ac:dyDescent="0.35">
      <c r="A7" s="3" t="str">
        <f>Справочник!$B$18</f>
        <v>Простота реализации MVP</v>
      </c>
      <c r="B7" s="3" t="str">
        <f>IF(COUNT(Ввод!C5,Ввод!C18,Ввод!C31)&lt;3,"",MIN(Ввод!C5,Ввод!C18,Ввод!C31))</f>
        <v/>
      </c>
      <c r="C7" s="3" t="str">
        <f>IF(COUNT(Ввод!C5,Ввод!C18,Ввод!C31)&lt;3,"",MEDIAN(Ввод!C5,Ввод!C18,Ввод!C31))</f>
        <v/>
      </c>
      <c r="D7" s="3" t="str">
        <f>IF(COUNT(Ввод!C5,Ввод!C18,Ввод!C31)&lt;3,"",MAX(Ввод!C5,Ввод!C18,Ввод!C31))</f>
        <v/>
      </c>
      <c r="E7" s="7" t="str">
        <f t="shared" si="0"/>
        <v/>
      </c>
      <c r="F7" s="7" t="str">
        <f t="shared" si="0"/>
        <v/>
      </c>
      <c r="G7" s="7" t="str">
        <f t="shared" si="0"/>
        <v/>
      </c>
    </row>
    <row r="8" spans="1:16" x14ac:dyDescent="0.35">
      <c r="A8" s="3" t="str">
        <f>Справочник!$B$19</f>
        <v>Пригодность для оценки и планирования</v>
      </c>
      <c r="B8" s="3" t="str">
        <f>IF(COUNT(Ввод!D5,Ввод!D18,Ввод!D31)&lt;3,"",MIN(Ввод!D5,Ввод!D18,Ввод!D31))</f>
        <v/>
      </c>
      <c r="C8" s="3" t="str">
        <f>IF(COUNT(Ввод!D5,Ввод!D18,Ввод!D31)&lt;3,"",MEDIAN(Ввод!D5,Ввод!D18,Ввод!D31))</f>
        <v/>
      </c>
      <c r="D8" s="3" t="str">
        <f>IF(COUNT(Ввод!D5,Ввод!D18,Ввод!D31)&lt;3,"",MAX(Ввод!D5,Ввод!D18,Ввод!D31))</f>
        <v/>
      </c>
      <c r="E8" s="7" t="str">
        <f t="shared" si="0"/>
        <v/>
      </c>
      <c r="F8" s="7" t="str">
        <f t="shared" si="0"/>
        <v/>
      </c>
      <c r="G8" s="7" t="str">
        <f t="shared" si="0"/>
        <v/>
      </c>
    </row>
    <row r="9" spans="1:16" x14ac:dyDescent="0.35">
      <c r="A9" s="3" t="str">
        <f>Справочник!$B$20</f>
        <v>Потенциал монетизации</v>
      </c>
      <c r="B9" s="3" t="str">
        <f>IF(COUNT(Ввод!E5,Ввод!E18,Ввод!E31)&lt;3,"",MIN(Ввод!E5,Ввод!E18,Ввод!E31))</f>
        <v/>
      </c>
      <c r="C9" s="3" t="str">
        <f>IF(COUNT(Ввод!E5,Ввод!E18,Ввод!E31)&lt;3,"",MEDIAN(Ввод!E5,Ввод!E18,Ввод!E31))</f>
        <v/>
      </c>
      <c r="D9" s="3" t="str">
        <f>IF(COUNT(Ввод!E5,Ввод!E18,Ввод!E31)&lt;3,"",MAX(Ввод!E5,Ввод!E18,Ввод!E31))</f>
        <v/>
      </c>
      <c r="E9" s="7" t="str">
        <f t="shared" si="0"/>
        <v/>
      </c>
      <c r="F9" s="7" t="str">
        <f t="shared" si="0"/>
        <v/>
      </c>
      <c r="G9" s="7" t="str">
        <f t="shared" si="0"/>
        <v/>
      </c>
    </row>
    <row r="10" spans="1:16" x14ac:dyDescent="0.35">
      <c r="A10" s="3" t="str">
        <f>Справочник!$B$21</f>
        <v>Интерес и экспертиза команды</v>
      </c>
      <c r="B10" s="3" t="str">
        <f>IF(COUNT(Ввод!F5,Ввод!F18,Ввод!F31)&lt;3,"",MIN(Ввод!F5,Ввод!F18,Ввод!F31))</f>
        <v/>
      </c>
      <c r="C10" s="3" t="str">
        <f>IF(COUNT(Ввод!F5,Ввод!F18,Ввод!F31)&lt;3,"",MEDIAN(Ввод!F5,Ввод!F18,Ввод!F31))</f>
        <v/>
      </c>
      <c r="D10" s="3" t="str">
        <f>IF(COUNT(Ввод!F5,Ввод!F18,Ввод!F31)&lt;3,"",MAX(Ввод!F5,Ввод!F18,Ввод!F31))</f>
        <v/>
      </c>
      <c r="E10" s="7" t="str">
        <f t="shared" si="0"/>
        <v/>
      </c>
      <c r="F10" s="7" t="str">
        <f t="shared" si="0"/>
        <v/>
      </c>
      <c r="G10" s="7" t="str">
        <f t="shared" si="0"/>
        <v/>
      </c>
    </row>
    <row r="12" spans="1:16" x14ac:dyDescent="0.35">
      <c r="A12" s="2" t="s">
        <v>50</v>
      </c>
    </row>
    <row r="13" spans="1:16" x14ac:dyDescent="0.35">
      <c r="A13" s="4" t="s">
        <v>51</v>
      </c>
      <c r="B13" s="12" t="str">
        <f>Справочник!$B$17</f>
        <v>Востребованность</v>
      </c>
      <c r="C13" s="13"/>
      <c r="D13" s="14"/>
      <c r="E13" s="12" t="str">
        <f>Справочник!$B$18</f>
        <v>Простота реализации MVP</v>
      </c>
      <c r="F13" s="13"/>
      <c r="G13" s="14"/>
      <c r="H13" s="12" t="str">
        <f>Справочник!$B$19</f>
        <v>Пригодность для оценки и планирования</v>
      </c>
      <c r="I13" s="13"/>
      <c r="J13" s="14"/>
      <c r="K13" s="12" t="str">
        <f>Справочник!$B$20</f>
        <v>Потенциал монетизации</v>
      </c>
      <c r="L13" s="13"/>
      <c r="M13" s="14"/>
      <c r="N13" s="12" t="str">
        <f>Справочник!$B$21</f>
        <v>Интерес и экспертиза команды</v>
      </c>
      <c r="O13" s="13"/>
      <c r="P13" s="14"/>
    </row>
    <row r="14" spans="1:16" x14ac:dyDescent="0.35">
      <c r="A14" s="4"/>
      <c r="B14" s="4" t="s">
        <v>44</v>
      </c>
      <c r="C14" s="4" t="s">
        <v>45</v>
      </c>
      <c r="D14" s="4" t="s">
        <v>46</v>
      </c>
      <c r="E14" s="4" t="s">
        <v>44</v>
      </c>
      <c r="F14" s="4" t="s">
        <v>45</v>
      </c>
      <c r="G14" s="4" t="s">
        <v>46</v>
      </c>
      <c r="H14" s="4" t="s">
        <v>44</v>
      </c>
      <c r="I14" s="4" t="s">
        <v>45</v>
      </c>
      <c r="J14" s="4" t="s">
        <v>46</v>
      </c>
      <c r="K14" s="4" t="s">
        <v>44</v>
      </c>
      <c r="L14" s="4" t="s">
        <v>45</v>
      </c>
      <c r="M14" s="4" t="s">
        <v>46</v>
      </c>
      <c r="N14" s="4" t="s">
        <v>44</v>
      </c>
      <c r="O14" s="4" t="s">
        <v>45</v>
      </c>
      <c r="P14" s="4" t="s">
        <v>46</v>
      </c>
    </row>
    <row r="15" spans="1:16" x14ac:dyDescent="0.35">
      <c r="A15" s="3" t="str">
        <f>Справочник!$B$10</f>
        <v>Бронь</v>
      </c>
      <c r="B15" s="3" t="str">
        <f>IF(COUNT(Ввод!B8,Ввод!B21,Ввод!B34)&lt;3,"",MIN(Ввод!B8,Ввод!B21,Ввод!B34))</f>
        <v/>
      </c>
      <c r="C15" s="3" t="str">
        <f>IF(COUNT(Ввод!B8,Ввод!B21,Ввод!B34)&lt;3,"",MEDIAN(Ввод!B8,Ввод!B21,Ввод!B34))</f>
        <v/>
      </c>
      <c r="D15" s="3" t="str">
        <f>IF(COUNT(Ввод!B8,Ввод!B21,Ввод!B34)&lt;3,"",MAX(Ввод!B8,Ввод!B21,Ввод!B34))</f>
        <v/>
      </c>
      <c r="E15" s="3" t="str">
        <f>IF(COUNT(Ввод!C8,Ввод!C21,Ввод!C34)&lt;3,"",MIN(Ввод!C8,Ввод!C21,Ввод!C34))</f>
        <v/>
      </c>
      <c r="F15" s="3" t="str">
        <f>IF(COUNT(Ввод!C8,Ввод!C21,Ввод!C34)&lt;3,"",MEDIAN(Ввод!C8,Ввод!C21,Ввод!C34))</f>
        <v/>
      </c>
      <c r="G15" s="3" t="str">
        <f>IF(COUNT(Ввод!C8,Ввод!C21,Ввод!C34)&lt;3,"",MAX(Ввод!C8,Ввод!C21,Ввод!C34))</f>
        <v/>
      </c>
      <c r="H15" s="3" t="str">
        <f>IF(COUNT(Ввод!D8,Ввод!D21,Ввод!D34)&lt;3,"",MIN(Ввод!D8,Ввод!D21,Ввод!D34))</f>
        <v/>
      </c>
      <c r="I15" s="3" t="str">
        <f>IF(COUNT(Ввод!D8,Ввод!D21,Ввод!D34)&lt;3,"",MEDIAN(Ввод!D8,Ввод!D21,Ввод!D34))</f>
        <v/>
      </c>
      <c r="J15" s="3" t="str">
        <f>IF(COUNT(Ввод!D8,Ввод!D21,Ввод!D34)&lt;3,"",MAX(Ввод!D8,Ввод!D21,Ввод!D34))</f>
        <v/>
      </c>
      <c r="K15" s="3" t="str">
        <f>IF(COUNT(Ввод!E8,Ввод!E21,Ввод!E34)&lt;3,"",MIN(Ввод!E8,Ввод!E21,Ввод!E34))</f>
        <v/>
      </c>
      <c r="L15" s="3" t="str">
        <f>IF(COUNT(Ввод!E8,Ввод!E21,Ввод!E34)&lt;3,"",MEDIAN(Ввод!E8,Ввод!E21,Ввод!E34))</f>
        <v/>
      </c>
      <c r="M15" s="3" t="str">
        <f>IF(COUNT(Ввод!E8,Ввод!E21,Ввод!E34)&lt;3,"",MAX(Ввод!E8,Ввод!E21,Ввод!E34))</f>
        <v/>
      </c>
      <c r="N15" s="3" t="str">
        <f>IF(COUNT(Ввод!F8,Ввод!F21,Ввод!F34)&lt;3,"",MIN(Ввод!F8,Ввод!F21,Ввод!F34))</f>
        <v/>
      </c>
      <c r="O15" s="3" t="str">
        <f>IF(COUNT(Ввод!F8,Ввод!F21,Ввод!F34)&lt;3,"",MEDIAN(Ввод!F8,Ввод!F21,Ввод!F34))</f>
        <v/>
      </c>
      <c r="P15" s="3" t="str">
        <f>IF(COUNT(Ввод!F8,Ввод!F21,Ввод!F34)&lt;3,"",MAX(Ввод!F8,Ввод!F21,Ввод!F34))</f>
        <v/>
      </c>
    </row>
    <row r="16" spans="1:16" x14ac:dyDescent="0.35">
      <c r="A16" s="3" t="str">
        <f>Справочник!$B$11</f>
        <v>Бюджет</v>
      </c>
      <c r="B16" s="3" t="str">
        <f>IF(COUNT(Ввод!B9,Ввод!B22,Ввод!B35)&lt;3,"",MIN(Ввод!B9,Ввод!B22,Ввод!B35))</f>
        <v/>
      </c>
      <c r="C16" s="3" t="str">
        <f>IF(COUNT(Ввод!B9,Ввод!B22,Ввод!B35)&lt;3,"",MEDIAN(Ввод!B9,Ввод!B22,Ввод!B35))</f>
        <v/>
      </c>
      <c r="D16" s="3" t="str">
        <f>IF(COUNT(Ввод!B9,Ввод!B22,Ввод!B35)&lt;3,"",MAX(Ввод!B9,Ввод!B22,Ввод!B35))</f>
        <v/>
      </c>
      <c r="E16" s="3" t="str">
        <f>IF(COUNT(Ввод!C9,Ввод!C22,Ввод!C35)&lt;3,"",MIN(Ввод!C9,Ввод!C22,Ввод!C35))</f>
        <v/>
      </c>
      <c r="F16" s="3" t="str">
        <f>IF(COUNT(Ввод!C9,Ввод!C22,Ввод!C35)&lt;3,"",MEDIAN(Ввод!C9,Ввод!C22,Ввод!C35))</f>
        <v/>
      </c>
      <c r="G16" s="3" t="str">
        <f>IF(COUNT(Ввод!C9,Ввод!C22,Ввод!C35)&lt;3,"",MAX(Ввод!C9,Ввод!C22,Ввод!C35))</f>
        <v/>
      </c>
      <c r="H16" s="3" t="str">
        <f>IF(COUNT(Ввод!D9,Ввод!D22,Ввод!D35)&lt;3,"",MIN(Ввод!D9,Ввод!D22,Ввод!D35))</f>
        <v/>
      </c>
      <c r="I16" s="3" t="str">
        <f>IF(COUNT(Ввод!D9,Ввод!D22,Ввод!D35)&lt;3,"",MEDIAN(Ввод!D9,Ввод!D22,Ввод!D35))</f>
        <v/>
      </c>
      <c r="J16" s="3" t="str">
        <f>IF(COUNT(Ввод!D9,Ввод!D22,Ввод!D35)&lt;3,"",MAX(Ввод!D9,Ввод!D22,Ввод!D35))</f>
        <v/>
      </c>
      <c r="K16" s="3" t="str">
        <f>IF(COUNT(Ввод!E9,Ввод!E22,Ввод!E35)&lt;3,"",MIN(Ввод!E9,Ввод!E22,Ввод!E35))</f>
        <v/>
      </c>
      <c r="L16" s="3" t="str">
        <f>IF(COUNT(Ввод!E9,Ввод!E22,Ввод!E35)&lt;3,"",MEDIAN(Ввод!E9,Ввод!E22,Ввод!E35))</f>
        <v/>
      </c>
      <c r="M16" s="3" t="str">
        <f>IF(COUNT(Ввод!E9,Ввод!E22,Ввод!E35)&lt;3,"",MAX(Ввод!E9,Ввод!E22,Ввод!E35))</f>
        <v/>
      </c>
      <c r="N16" s="3" t="str">
        <f>IF(COUNT(Ввод!F9,Ввод!F22,Ввод!F35)&lt;3,"",MIN(Ввод!F9,Ввод!F22,Ввод!F35))</f>
        <v/>
      </c>
      <c r="O16" s="3" t="str">
        <f>IF(COUNT(Ввод!F9,Ввод!F22,Ввод!F35)&lt;3,"",MEDIAN(Ввод!F9,Ввод!F22,Ввод!F35))</f>
        <v/>
      </c>
      <c r="P16" s="3" t="str">
        <f>IF(COUNT(Ввод!F9,Ввод!F22,Ввод!F35)&lt;3,"",MAX(Ввод!F9,Ввод!F22,Ввод!F35))</f>
        <v/>
      </c>
    </row>
    <row r="17" spans="1:16" x14ac:dyDescent="0.35">
      <c r="A17" s="3" t="str">
        <f>Справочник!$B$12</f>
        <v>Запись</v>
      </c>
      <c r="B17" s="3" t="str">
        <f>IF(COUNT(Ввод!B10,Ввод!B23,Ввод!B36)&lt;3,"",MIN(Ввод!B10,Ввод!B23,Ввод!B36))</f>
        <v/>
      </c>
      <c r="C17" s="3" t="str">
        <f>IF(COUNT(Ввод!B10,Ввод!B23,Ввод!B36)&lt;3,"",MEDIAN(Ввод!B10,Ввод!B23,Ввод!B36))</f>
        <v/>
      </c>
      <c r="D17" s="3" t="str">
        <f>IF(COUNT(Ввод!B10,Ввод!B23,Ввод!B36)&lt;3,"",MAX(Ввод!B10,Ввод!B23,Ввод!B36))</f>
        <v/>
      </c>
      <c r="E17" s="3" t="str">
        <f>IF(COUNT(Ввод!C10,Ввод!C23,Ввод!C36)&lt;3,"",MIN(Ввод!C10,Ввод!C23,Ввод!C36))</f>
        <v/>
      </c>
      <c r="F17" s="3" t="str">
        <f>IF(COUNT(Ввод!C10,Ввод!C23,Ввод!C36)&lt;3,"",MEDIAN(Ввод!C10,Ввод!C23,Ввод!C36))</f>
        <v/>
      </c>
      <c r="G17" s="3" t="str">
        <f>IF(COUNT(Ввод!C10,Ввод!C23,Ввод!C36)&lt;3,"",MAX(Ввод!C10,Ввод!C23,Ввод!C36))</f>
        <v/>
      </c>
      <c r="H17" s="3" t="str">
        <f>IF(COUNT(Ввод!D10,Ввод!D23,Ввод!D36)&lt;3,"",MIN(Ввод!D10,Ввод!D23,Ввод!D36))</f>
        <v/>
      </c>
      <c r="I17" s="3" t="str">
        <f>IF(COUNT(Ввод!D10,Ввод!D23,Ввод!D36)&lt;3,"",MEDIAN(Ввод!D10,Ввод!D23,Ввод!D36))</f>
        <v/>
      </c>
      <c r="J17" s="3" t="str">
        <f>IF(COUNT(Ввод!D10,Ввод!D23,Ввод!D36)&lt;3,"",MAX(Ввод!D10,Ввод!D23,Ввод!D36))</f>
        <v/>
      </c>
      <c r="K17" s="3" t="str">
        <f>IF(COUNT(Ввод!E10,Ввод!E23,Ввод!E36)&lt;3,"",MIN(Ввод!E10,Ввод!E23,Ввод!E36))</f>
        <v/>
      </c>
      <c r="L17" s="3" t="str">
        <f>IF(COUNT(Ввод!E10,Ввод!E23,Ввод!E36)&lt;3,"",MEDIAN(Ввод!E10,Ввод!E23,Ввод!E36))</f>
        <v/>
      </c>
      <c r="M17" s="3" t="str">
        <f>IF(COUNT(Ввод!E10,Ввод!E23,Ввод!E36)&lt;3,"",MAX(Ввод!E10,Ввод!E23,Ввод!E36))</f>
        <v/>
      </c>
      <c r="N17" s="3" t="str">
        <f>IF(COUNT(Ввод!F10,Ввод!F23,Ввод!F36)&lt;3,"",MIN(Ввод!F10,Ввод!F23,Ввод!F36))</f>
        <v/>
      </c>
      <c r="O17" s="3" t="str">
        <f>IF(COUNT(Ввод!F10,Ввод!F23,Ввод!F36)&lt;3,"",MEDIAN(Ввод!F10,Ввод!F23,Ввод!F36))</f>
        <v/>
      </c>
      <c r="P17" s="3" t="str">
        <f>IF(COUNT(Ввод!F10,Ввод!F23,Ввод!F36)&lt;3,"",MAX(Ввод!F10,Ввод!F23,Ввод!F36))</f>
        <v/>
      </c>
    </row>
    <row r="18" spans="1:16" x14ac:dyDescent="0.35">
      <c r="A18" s="3" t="str">
        <f>Справочник!$B$13</f>
        <v>Привычки</v>
      </c>
      <c r="B18" s="3" t="str">
        <f>IF(COUNT(Ввод!B11,Ввод!B24,Ввод!B37)&lt;3,"",MIN(Ввод!B11,Ввод!B24,Ввод!B37))</f>
        <v/>
      </c>
      <c r="C18" s="3" t="str">
        <f>IF(COUNT(Ввод!B11,Ввод!B24,Ввод!B37)&lt;3,"",MEDIAN(Ввод!B11,Ввод!B24,Ввод!B37))</f>
        <v/>
      </c>
      <c r="D18" s="3" t="str">
        <f>IF(COUNT(Ввод!B11,Ввод!B24,Ввод!B37)&lt;3,"",MAX(Ввод!B11,Ввод!B24,Ввод!B37))</f>
        <v/>
      </c>
      <c r="E18" s="3" t="str">
        <f>IF(COUNT(Ввод!C11,Ввод!C24,Ввод!C37)&lt;3,"",MIN(Ввод!C11,Ввод!C24,Ввод!C37))</f>
        <v/>
      </c>
      <c r="F18" s="3" t="str">
        <f>IF(COUNT(Ввод!C11,Ввод!C24,Ввод!C37)&lt;3,"",MEDIAN(Ввод!C11,Ввод!C24,Ввод!C37))</f>
        <v/>
      </c>
      <c r="G18" s="3" t="str">
        <f>IF(COUNT(Ввод!C11,Ввод!C24,Ввод!C37)&lt;3,"",MAX(Ввод!C11,Ввод!C24,Ввод!C37))</f>
        <v/>
      </c>
      <c r="H18" s="3" t="str">
        <f>IF(COUNT(Ввод!D11,Ввод!D24,Ввод!D37)&lt;3,"",MIN(Ввод!D11,Ввод!D24,Ввод!D37))</f>
        <v/>
      </c>
      <c r="I18" s="3" t="str">
        <f>IF(COUNT(Ввод!D11,Ввод!D24,Ввод!D37)&lt;3,"",MEDIAN(Ввод!D11,Ввод!D24,Ввод!D37))</f>
        <v/>
      </c>
      <c r="J18" s="3" t="str">
        <f>IF(COUNT(Ввод!D11,Ввод!D24,Ввод!D37)&lt;3,"",MAX(Ввод!D11,Ввод!D24,Ввод!D37))</f>
        <v/>
      </c>
      <c r="K18" s="3" t="str">
        <f>IF(COUNT(Ввод!E11,Ввод!E24,Ввод!E37)&lt;3,"",MIN(Ввод!E11,Ввод!E24,Ввод!E37))</f>
        <v/>
      </c>
      <c r="L18" s="3" t="str">
        <f>IF(COUNT(Ввод!E11,Ввод!E24,Ввод!E37)&lt;3,"",MEDIAN(Ввод!E11,Ввод!E24,Ввод!E37))</f>
        <v/>
      </c>
      <c r="M18" s="3" t="str">
        <f>IF(COUNT(Ввод!E11,Ввод!E24,Ввод!E37)&lt;3,"",MAX(Ввод!E11,Ввод!E24,Ввод!E37))</f>
        <v/>
      </c>
      <c r="N18" s="3" t="str">
        <f>IF(COUNT(Ввод!F11,Ввод!F24,Ввод!F37)&lt;3,"",MIN(Ввод!F11,Ввод!F24,Ввод!F37))</f>
        <v/>
      </c>
      <c r="O18" s="3" t="str">
        <f>IF(COUNT(Ввод!F11,Ввод!F24,Ввод!F37)&lt;3,"",MEDIAN(Ввод!F11,Ввод!F24,Ввод!F37))</f>
        <v/>
      </c>
      <c r="P18" s="3" t="str">
        <f>IF(COUNT(Ввод!F11,Ввод!F24,Ввод!F37)&lt;3,"",MAX(Ввод!F11,Ввод!F24,Ввод!F37))</f>
        <v/>
      </c>
    </row>
    <row r="20" spans="1:16" x14ac:dyDescent="0.35">
      <c r="A20" s="2" t="s">
        <v>52</v>
      </c>
    </row>
    <row r="21" spans="1:16" x14ac:dyDescent="0.35">
      <c r="A21" s="4" t="s">
        <v>51</v>
      </c>
      <c r="B21" s="12" t="str">
        <f>Справочник!$B$17</f>
        <v>Востребованность</v>
      </c>
      <c r="C21" s="13"/>
      <c r="D21" s="14"/>
      <c r="E21" s="12" t="str">
        <f>Справочник!$B$18</f>
        <v>Простота реализации MVP</v>
      </c>
      <c r="F21" s="13"/>
      <c r="G21" s="14"/>
      <c r="H21" s="12" t="str">
        <f>Справочник!$B$19</f>
        <v>Пригодность для оценки и планирования</v>
      </c>
      <c r="I21" s="13"/>
      <c r="J21" s="14"/>
      <c r="K21" s="12" t="str">
        <f>Справочник!$B$20</f>
        <v>Потенциал монетизации</v>
      </c>
      <c r="L21" s="13"/>
      <c r="M21" s="14"/>
      <c r="N21" s="12" t="str">
        <f>Справочник!$B$21</f>
        <v>Интерес и экспертиза команды</v>
      </c>
      <c r="O21" s="13"/>
      <c r="P21" s="14"/>
    </row>
    <row r="22" spans="1:16" x14ac:dyDescent="0.35">
      <c r="A22" s="4"/>
      <c r="B22" s="4" t="s">
        <v>44</v>
      </c>
      <c r="C22" s="4" t="s">
        <v>45</v>
      </c>
      <c r="D22" s="4" t="s">
        <v>46</v>
      </c>
      <c r="E22" s="4" t="s">
        <v>44</v>
      </c>
      <c r="F22" s="4" t="s">
        <v>45</v>
      </c>
      <c r="G22" s="4" t="s">
        <v>46</v>
      </c>
      <c r="H22" s="4" t="s">
        <v>44</v>
      </c>
      <c r="I22" s="4" t="s">
        <v>45</v>
      </c>
      <c r="J22" s="4" t="s">
        <v>46</v>
      </c>
      <c r="K22" s="4" t="s">
        <v>44</v>
      </c>
      <c r="L22" s="4" t="s">
        <v>45</v>
      </c>
      <c r="M22" s="4" t="s">
        <v>46</v>
      </c>
      <c r="N22" s="4" t="s">
        <v>44</v>
      </c>
      <c r="O22" s="4" t="s">
        <v>45</v>
      </c>
      <c r="P22" s="4" t="s">
        <v>46</v>
      </c>
    </row>
    <row r="23" spans="1:16" x14ac:dyDescent="0.35">
      <c r="A23" s="3" t="str">
        <f>Справочник!$B$10</f>
        <v>Бронь</v>
      </c>
      <c r="B23" s="7" t="str">
        <f>IFERROR(IF(Справочник!$C$17="-",MIN($B$15:$B$18)/D15,B15/MAX($D$15:$D$18)),"")</f>
        <v/>
      </c>
      <c r="C23" s="7" t="str">
        <f>IFERROR(IF(Справочник!$C$17="-",MIN($B$15:$B$18)/C15,C15/MAX($D$15:$D$18)),"")</f>
        <v/>
      </c>
      <c r="D23" s="7" t="str">
        <f>IFERROR(IF(Справочник!$C$17="-",MIN($B$15:$B$18)/B15,D15/MAX($D$15:$D$18)),"")</f>
        <v/>
      </c>
      <c r="E23" s="7" t="str">
        <f>IFERROR(IF(Справочник!$C$18="-",MIN($E$15:$E$18)/G15,E15/MAX($G$15:$G$18)),"")</f>
        <v/>
      </c>
      <c r="F23" s="7" t="str">
        <f>IFERROR(IF(Справочник!$C$18="-",MIN($E$15:$E$18)/F15,F15/MAX($G$15:$G$18)),"")</f>
        <v/>
      </c>
      <c r="G23" s="7" t="str">
        <f>IFERROR(IF(Справочник!$C$18="-",MIN($E$15:$E$18)/E15,G15/MAX($G$15:$G$18)),"")</f>
        <v/>
      </c>
      <c r="H23" s="7" t="str">
        <f>IFERROR(IF(Справочник!$C$19="-",MIN($H$15:$H$18)/J15,H15/MAX($J$15:$J$18)),"")</f>
        <v/>
      </c>
      <c r="I23" s="7" t="str">
        <f>IFERROR(IF(Справочник!$C$19="-",MIN($H$15:$H$18)/I15,I15/MAX($J$15:$J$18)),"")</f>
        <v/>
      </c>
      <c r="J23" s="7" t="str">
        <f>IFERROR(IF(Справочник!$C$19="-",MIN($H$15:$H$18)/H15,J15/MAX($J$15:$J$18)),"")</f>
        <v/>
      </c>
      <c r="K23" s="7" t="str">
        <f>IFERROR(IF(Справочник!$C$20="-",MIN($K$15:$K$18)/M15,K15/MAX($M$15:$M$18)),"")</f>
        <v/>
      </c>
      <c r="L23" s="7" t="str">
        <f>IFERROR(IF(Справочник!$C$20="-",MIN($K$15:$K$18)/L15,L15/MAX($M$15:$M$18)),"")</f>
        <v/>
      </c>
      <c r="M23" s="7" t="str">
        <f>IFERROR(IF(Справочник!$C$20="-",MIN($K$15:$K$18)/K15,M15/MAX($M$15:$M$18)),"")</f>
        <v/>
      </c>
      <c r="N23" s="7" t="str">
        <f>IFERROR(IF(Справочник!$C$21="-",MIN($N$15:$N$18)/P15,N15/MAX($P$15:$P$18)),"")</f>
        <v/>
      </c>
      <c r="O23" s="7" t="str">
        <f>IFERROR(IF(Справочник!$C$21="-",MIN($N$15:$N$18)/O15,O15/MAX($P$15:$P$18)),"")</f>
        <v/>
      </c>
      <c r="P23" s="7" t="str">
        <f>IFERROR(IF(Справочник!$C$21="-",MIN($N$15:$N$18)/N15,P15/MAX($P$15:$P$18)),"")</f>
        <v/>
      </c>
    </row>
    <row r="24" spans="1:16" x14ac:dyDescent="0.35">
      <c r="A24" s="3" t="str">
        <f>Справочник!$B$11</f>
        <v>Бюджет</v>
      </c>
      <c r="B24" s="7" t="str">
        <f>IFERROR(IF(Справочник!$C$17="-",MIN($B$15:$B$18)/D16,B16/MAX($D$15:$D$18)),"")</f>
        <v/>
      </c>
      <c r="C24" s="7" t="str">
        <f>IFERROR(IF(Справочник!$C$17="-",MIN($B$15:$B$18)/C16,C16/MAX($D$15:$D$18)),"")</f>
        <v/>
      </c>
      <c r="D24" s="7" t="str">
        <f>IFERROR(IF(Справочник!$C$17="-",MIN($B$15:$B$18)/B16,D16/MAX($D$15:$D$18)),"")</f>
        <v/>
      </c>
      <c r="E24" s="7" t="str">
        <f>IFERROR(IF(Справочник!$C$18="-",MIN($E$15:$E$18)/G16,E16/MAX($G$15:$G$18)),"")</f>
        <v/>
      </c>
      <c r="F24" s="7" t="str">
        <f>IFERROR(IF(Справочник!$C$18="-",MIN($E$15:$E$18)/F16,F16/MAX($G$15:$G$18)),"")</f>
        <v/>
      </c>
      <c r="G24" s="7" t="str">
        <f>IFERROR(IF(Справочник!$C$18="-",MIN($E$15:$E$18)/E16,G16/MAX($G$15:$G$18)),"")</f>
        <v/>
      </c>
      <c r="H24" s="7" t="str">
        <f>IFERROR(IF(Справочник!$C$19="-",MIN($H$15:$H$18)/J16,H16/MAX($J$15:$J$18)),"")</f>
        <v/>
      </c>
      <c r="I24" s="7" t="str">
        <f>IFERROR(IF(Справочник!$C$19="-",MIN($H$15:$H$18)/I16,I16/MAX($J$15:$J$18)),"")</f>
        <v/>
      </c>
      <c r="J24" s="7" t="str">
        <f>IFERROR(IF(Справочник!$C$19="-",MIN($H$15:$H$18)/H16,J16/MAX($J$15:$J$18)),"")</f>
        <v/>
      </c>
      <c r="K24" s="7" t="str">
        <f>IFERROR(IF(Справочник!$C$20="-",MIN($K$15:$K$18)/M16,K16/MAX($M$15:$M$18)),"")</f>
        <v/>
      </c>
      <c r="L24" s="7" t="str">
        <f>IFERROR(IF(Справочник!$C$20="-",MIN($K$15:$K$18)/L16,L16/MAX($M$15:$M$18)),"")</f>
        <v/>
      </c>
      <c r="M24" s="7" t="str">
        <f>IFERROR(IF(Справочник!$C$20="-",MIN($K$15:$K$18)/K16,M16/MAX($M$15:$M$18)),"")</f>
        <v/>
      </c>
      <c r="N24" s="7" t="str">
        <f>IFERROR(IF(Справочник!$C$21="-",MIN($N$15:$N$18)/P16,N16/MAX($P$15:$P$18)),"")</f>
        <v/>
      </c>
      <c r="O24" s="7" t="str">
        <f>IFERROR(IF(Справочник!$C$21="-",MIN($N$15:$N$18)/O16,O16/MAX($P$15:$P$18)),"")</f>
        <v/>
      </c>
      <c r="P24" s="7" t="str">
        <f>IFERROR(IF(Справочник!$C$21="-",MIN($N$15:$N$18)/N16,P16/MAX($P$15:$P$18)),"")</f>
        <v/>
      </c>
    </row>
    <row r="25" spans="1:16" x14ac:dyDescent="0.35">
      <c r="A25" s="3" t="str">
        <f>Справочник!$B$12</f>
        <v>Запись</v>
      </c>
      <c r="B25" s="7" t="str">
        <f>IFERROR(IF(Справочник!$C$17="-",MIN($B$15:$B$18)/D17,B17/MAX($D$15:$D$18)),"")</f>
        <v/>
      </c>
      <c r="C25" s="7" t="str">
        <f>IFERROR(IF(Справочник!$C$17="-",MIN($B$15:$B$18)/C17,C17/MAX($D$15:$D$18)),"")</f>
        <v/>
      </c>
      <c r="D25" s="7" t="str">
        <f>IFERROR(IF(Справочник!$C$17="-",MIN($B$15:$B$18)/B17,D17/MAX($D$15:$D$18)),"")</f>
        <v/>
      </c>
      <c r="E25" s="7" t="str">
        <f>IFERROR(IF(Справочник!$C$18="-",MIN($E$15:$E$18)/G17,E17/MAX($G$15:$G$18)),"")</f>
        <v/>
      </c>
      <c r="F25" s="7" t="str">
        <f>IFERROR(IF(Справочник!$C$18="-",MIN($E$15:$E$18)/F17,F17/MAX($G$15:$G$18)),"")</f>
        <v/>
      </c>
      <c r="G25" s="7" t="str">
        <f>IFERROR(IF(Справочник!$C$18="-",MIN($E$15:$E$18)/E17,G17/MAX($G$15:$G$18)),"")</f>
        <v/>
      </c>
      <c r="H25" s="7" t="str">
        <f>IFERROR(IF(Справочник!$C$19="-",MIN($H$15:$H$18)/J17,H17/MAX($J$15:$J$18)),"")</f>
        <v/>
      </c>
      <c r="I25" s="7" t="str">
        <f>IFERROR(IF(Справочник!$C$19="-",MIN($H$15:$H$18)/I17,I17/MAX($J$15:$J$18)),"")</f>
        <v/>
      </c>
      <c r="J25" s="7" t="str">
        <f>IFERROR(IF(Справочник!$C$19="-",MIN($H$15:$H$18)/H17,J17/MAX($J$15:$J$18)),"")</f>
        <v/>
      </c>
      <c r="K25" s="7" t="str">
        <f>IFERROR(IF(Справочник!$C$20="-",MIN($K$15:$K$18)/M17,K17/MAX($M$15:$M$18)),"")</f>
        <v/>
      </c>
      <c r="L25" s="7" t="str">
        <f>IFERROR(IF(Справочник!$C$20="-",MIN($K$15:$K$18)/L17,L17/MAX($M$15:$M$18)),"")</f>
        <v/>
      </c>
      <c r="M25" s="7" t="str">
        <f>IFERROR(IF(Справочник!$C$20="-",MIN($K$15:$K$18)/K17,M17/MAX($M$15:$M$18)),"")</f>
        <v/>
      </c>
      <c r="N25" s="7" t="str">
        <f>IFERROR(IF(Справочник!$C$21="-",MIN($N$15:$N$18)/P17,N17/MAX($P$15:$P$18)),"")</f>
        <v/>
      </c>
      <c r="O25" s="7" t="str">
        <f>IFERROR(IF(Справочник!$C$21="-",MIN($N$15:$N$18)/O17,O17/MAX($P$15:$P$18)),"")</f>
        <v/>
      </c>
      <c r="P25" s="7" t="str">
        <f>IFERROR(IF(Справочник!$C$21="-",MIN($N$15:$N$18)/N17,P17/MAX($P$15:$P$18)),"")</f>
        <v/>
      </c>
    </row>
    <row r="26" spans="1:16" x14ac:dyDescent="0.35">
      <c r="A26" s="3" t="str">
        <f>Справочник!$B$13</f>
        <v>Привычки</v>
      </c>
      <c r="B26" s="7" t="str">
        <f>IFERROR(IF(Справочник!$C$17="-",MIN($B$15:$B$18)/D18,B18/MAX($D$15:$D$18)),"")</f>
        <v/>
      </c>
      <c r="C26" s="7" t="str">
        <f>IFERROR(IF(Справочник!$C$17="-",MIN($B$15:$B$18)/C18,C18/MAX($D$15:$D$18)),"")</f>
        <v/>
      </c>
      <c r="D26" s="7" t="str">
        <f>IFERROR(IF(Справочник!$C$17="-",MIN($B$15:$B$18)/B18,D18/MAX($D$15:$D$18)),"")</f>
        <v/>
      </c>
      <c r="E26" s="7" t="str">
        <f>IFERROR(IF(Справочник!$C$18="-",MIN($E$15:$E$18)/G18,E18/MAX($G$15:$G$18)),"")</f>
        <v/>
      </c>
      <c r="F26" s="7" t="str">
        <f>IFERROR(IF(Справочник!$C$18="-",MIN($E$15:$E$18)/F18,F18/MAX($G$15:$G$18)),"")</f>
        <v/>
      </c>
      <c r="G26" s="7" t="str">
        <f>IFERROR(IF(Справочник!$C$18="-",MIN($E$15:$E$18)/E18,G18/MAX($G$15:$G$18)),"")</f>
        <v/>
      </c>
      <c r="H26" s="7" t="str">
        <f>IFERROR(IF(Справочник!$C$19="-",MIN($H$15:$H$18)/J18,H18/MAX($J$15:$J$18)),"")</f>
        <v/>
      </c>
      <c r="I26" s="7" t="str">
        <f>IFERROR(IF(Справочник!$C$19="-",MIN($H$15:$H$18)/I18,I18/MAX($J$15:$J$18)),"")</f>
        <v/>
      </c>
      <c r="J26" s="7" t="str">
        <f>IFERROR(IF(Справочник!$C$19="-",MIN($H$15:$H$18)/H18,J18/MAX($J$15:$J$18)),"")</f>
        <v/>
      </c>
      <c r="K26" s="7" t="str">
        <f>IFERROR(IF(Справочник!$C$20="-",MIN($K$15:$K$18)/M18,K18/MAX($M$15:$M$18)),"")</f>
        <v/>
      </c>
      <c r="L26" s="7" t="str">
        <f>IFERROR(IF(Справочник!$C$20="-",MIN($K$15:$K$18)/L18,L18/MAX($M$15:$M$18)),"")</f>
        <v/>
      </c>
      <c r="M26" s="7" t="str">
        <f>IFERROR(IF(Справочник!$C$20="-",MIN($K$15:$K$18)/K18,M18/MAX($M$15:$M$18)),"")</f>
        <v/>
      </c>
      <c r="N26" s="7" t="str">
        <f>IFERROR(IF(Справочник!$C$21="-",MIN($N$15:$N$18)/P18,N18/MAX($P$15:$P$18)),"")</f>
        <v/>
      </c>
      <c r="O26" s="7" t="str">
        <f>IFERROR(IF(Справочник!$C$21="-",MIN($N$15:$N$18)/O18,O18/MAX($P$15:$P$18)),"")</f>
        <v/>
      </c>
      <c r="P26" s="7" t="str">
        <f>IFERROR(IF(Справочник!$C$21="-",MIN($N$15:$N$18)/N18,P18/MAX($P$15:$P$18)),"")</f>
        <v/>
      </c>
    </row>
    <row r="28" spans="1:16" x14ac:dyDescent="0.35">
      <c r="A28" s="2" t="s">
        <v>53</v>
      </c>
    </row>
    <row r="29" spans="1:16" x14ac:dyDescent="0.35">
      <c r="A29" s="4" t="s">
        <v>51</v>
      </c>
      <c r="B29" s="12" t="str">
        <f>Справочник!$B$17</f>
        <v>Востребованность</v>
      </c>
      <c r="C29" s="13"/>
      <c r="D29" s="14"/>
      <c r="E29" s="12" t="str">
        <f>Справочник!$B$18</f>
        <v>Простота реализации MVP</v>
      </c>
      <c r="F29" s="13"/>
      <c r="G29" s="14"/>
      <c r="H29" s="12" t="str">
        <f>Справочник!$B$19</f>
        <v>Пригодность для оценки и планирования</v>
      </c>
      <c r="I29" s="13"/>
      <c r="J29" s="14"/>
      <c r="K29" s="12" t="str">
        <f>Справочник!$B$20</f>
        <v>Потенциал монетизации</v>
      </c>
      <c r="L29" s="13"/>
      <c r="M29" s="14"/>
      <c r="N29" s="12" t="str">
        <f>Справочник!$B$21</f>
        <v>Интерес и экспертиза команды</v>
      </c>
      <c r="O29" s="13"/>
      <c r="P29" s="14"/>
    </row>
    <row r="30" spans="1:16" x14ac:dyDescent="0.35">
      <c r="A30" s="4"/>
      <c r="B30" s="4" t="s">
        <v>44</v>
      </c>
      <c r="C30" s="4" t="s">
        <v>45</v>
      </c>
      <c r="D30" s="4" t="s">
        <v>46</v>
      </c>
      <c r="E30" s="4" t="s">
        <v>44</v>
      </c>
      <c r="F30" s="4" t="s">
        <v>45</v>
      </c>
      <c r="G30" s="4" t="s">
        <v>46</v>
      </c>
      <c r="H30" s="4" t="s">
        <v>44</v>
      </c>
      <c r="I30" s="4" t="s">
        <v>45</v>
      </c>
      <c r="J30" s="4" t="s">
        <v>46</v>
      </c>
      <c r="K30" s="4" t="s">
        <v>44</v>
      </c>
      <c r="L30" s="4" t="s">
        <v>45</v>
      </c>
      <c r="M30" s="4" t="s">
        <v>46</v>
      </c>
      <c r="N30" s="4" t="s">
        <v>44</v>
      </c>
      <c r="O30" s="4" t="s">
        <v>45</v>
      </c>
      <c r="P30" s="4" t="s">
        <v>46</v>
      </c>
    </row>
    <row r="31" spans="1:16" x14ac:dyDescent="0.35">
      <c r="A31" s="3" t="str">
        <f>Справочник!$B$10</f>
        <v>Бронь</v>
      </c>
      <c r="B31" s="8" t="str">
        <f>IFERROR(B23*$E$6,"")</f>
        <v/>
      </c>
      <c r="C31" s="8" t="str">
        <f>IFERROR(C23*$F$6,"")</f>
        <v/>
      </c>
      <c r="D31" s="8" t="str">
        <f>IFERROR(D23*$G$6,"")</f>
        <v/>
      </c>
      <c r="E31" s="8" t="str">
        <f>IFERROR(E23*$E$7,"")</f>
        <v/>
      </c>
      <c r="F31" s="8" t="str">
        <f>IFERROR(F23*$F$7,"")</f>
        <v/>
      </c>
      <c r="G31" s="8" t="str">
        <f>IFERROR(G23*$G$7,"")</f>
        <v/>
      </c>
      <c r="H31" s="8" t="str">
        <f>IFERROR(H23*$E$8,"")</f>
        <v/>
      </c>
      <c r="I31" s="8" t="str">
        <f>IFERROR(I23*$F$8,"")</f>
        <v/>
      </c>
      <c r="J31" s="8" t="str">
        <f>IFERROR(J23*$G$8,"")</f>
        <v/>
      </c>
      <c r="K31" s="8" t="str">
        <f>IFERROR(K23*$E$9,"")</f>
        <v/>
      </c>
      <c r="L31" s="8" t="str">
        <f>IFERROR(L23*$F$9,"")</f>
        <v/>
      </c>
      <c r="M31" s="8" t="str">
        <f>IFERROR(M23*$G$9,"")</f>
        <v/>
      </c>
      <c r="N31" s="8" t="str">
        <f>IFERROR(N23*$E$10,"")</f>
        <v/>
      </c>
      <c r="O31" s="8" t="str">
        <f>IFERROR(O23*$F$10,"")</f>
        <v/>
      </c>
      <c r="P31" s="8" t="str">
        <f>IFERROR(P23*$G$10,"")</f>
        <v/>
      </c>
    </row>
    <row r="32" spans="1:16" x14ac:dyDescent="0.35">
      <c r="A32" s="3" t="str">
        <f>Справочник!$B$11</f>
        <v>Бюджет</v>
      </c>
      <c r="B32" s="8" t="str">
        <f>IFERROR(B24*$E$6,"")</f>
        <v/>
      </c>
      <c r="C32" s="8" t="str">
        <f>IFERROR(C24*$F$6,"")</f>
        <v/>
      </c>
      <c r="D32" s="8" t="str">
        <f>IFERROR(D24*$G$6,"")</f>
        <v/>
      </c>
      <c r="E32" s="8" t="str">
        <f>IFERROR(E24*$E$7,"")</f>
        <v/>
      </c>
      <c r="F32" s="8" t="str">
        <f>IFERROR(F24*$F$7,"")</f>
        <v/>
      </c>
      <c r="G32" s="8" t="str">
        <f>IFERROR(G24*$G$7,"")</f>
        <v/>
      </c>
      <c r="H32" s="8" t="str">
        <f>IFERROR(H24*$E$8,"")</f>
        <v/>
      </c>
      <c r="I32" s="8" t="str">
        <f>IFERROR(I24*$F$8,"")</f>
        <v/>
      </c>
      <c r="J32" s="8" t="str">
        <f>IFERROR(J24*$G$8,"")</f>
        <v/>
      </c>
      <c r="K32" s="8" t="str">
        <f>IFERROR(K24*$E$9,"")</f>
        <v/>
      </c>
      <c r="L32" s="8" t="str">
        <f>IFERROR(L24*$F$9,"")</f>
        <v/>
      </c>
      <c r="M32" s="8" t="str">
        <f>IFERROR(M24*$G$9,"")</f>
        <v/>
      </c>
      <c r="N32" s="8" t="str">
        <f>IFERROR(N24*$E$10,"")</f>
        <v/>
      </c>
      <c r="O32" s="8" t="str">
        <f>IFERROR(O24*$F$10,"")</f>
        <v/>
      </c>
      <c r="P32" s="8" t="str">
        <f>IFERROR(P24*$G$10,"")</f>
        <v/>
      </c>
    </row>
    <row r="33" spans="1:16" x14ac:dyDescent="0.35">
      <c r="A33" s="3" t="str">
        <f>Справочник!$B$12</f>
        <v>Запись</v>
      </c>
      <c r="B33" s="8" t="str">
        <f>IFERROR(B25*$E$6,"")</f>
        <v/>
      </c>
      <c r="C33" s="8" t="str">
        <f>IFERROR(C25*$F$6,"")</f>
        <v/>
      </c>
      <c r="D33" s="8" t="str">
        <f>IFERROR(D25*$G$6,"")</f>
        <v/>
      </c>
      <c r="E33" s="8" t="str">
        <f>IFERROR(E25*$E$7,"")</f>
        <v/>
      </c>
      <c r="F33" s="8" t="str">
        <f>IFERROR(F25*$F$7,"")</f>
        <v/>
      </c>
      <c r="G33" s="8" t="str">
        <f>IFERROR(G25*$G$7,"")</f>
        <v/>
      </c>
      <c r="H33" s="8" t="str">
        <f>IFERROR(H25*$E$8,"")</f>
        <v/>
      </c>
      <c r="I33" s="8" t="str">
        <f>IFERROR(I25*$F$8,"")</f>
        <v/>
      </c>
      <c r="J33" s="8" t="str">
        <f>IFERROR(J25*$G$8,"")</f>
        <v/>
      </c>
      <c r="K33" s="8" t="str">
        <f>IFERROR(K25*$E$9,"")</f>
        <v/>
      </c>
      <c r="L33" s="8" t="str">
        <f>IFERROR(L25*$F$9,"")</f>
        <v/>
      </c>
      <c r="M33" s="8" t="str">
        <f>IFERROR(M25*$G$9,"")</f>
        <v/>
      </c>
      <c r="N33" s="8" t="str">
        <f>IFERROR(N25*$E$10,"")</f>
        <v/>
      </c>
      <c r="O33" s="8" t="str">
        <f>IFERROR(O25*$F$10,"")</f>
        <v/>
      </c>
      <c r="P33" s="8" t="str">
        <f>IFERROR(P25*$G$10,"")</f>
        <v/>
      </c>
    </row>
    <row r="34" spans="1:16" x14ac:dyDescent="0.35">
      <c r="A34" s="3" t="str">
        <f>Справочник!$B$13</f>
        <v>Привычки</v>
      </c>
      <c r="B34" s="8" t="str">
        <f>IFERROR(B26*$E$6,"")</f>
        <v/>
      </c>
      <c r="C34" s="8" t="str">
        <f>IFERROR(C26*$F$6,"")</f>
        <v/>
      </c>
      <c r="D34" s="8" t="str">
        <f>IFERROR(D26*$G$6,"")</f>
        <v/>
      </c>
      <c r="E34" s="8" t="str">
        <f>IFERROR(E26*$E$7,"")</f>
        <v/>
      </c>
      <c r="F34" s="8" t="str">
        <f>IFERROR(F26*$F$7,"")</f>
        <v/>
      </c>
      <c r="G34" s="8" t="str">
        <f>IFERROR(G26*$G$7,"")</f>
        <v/>
      </c>
      <c r="H34" s="8" t="str">
        <f>IFERROR(H26*$E$8,"")</f>
        <v/>
      </c>
      <c r="I34" s="8" t="str">
        <f>IFERROR(I26*$F$8,"")</f>
        <v/>
      </c>
      <c r="J34" s="8" t="str">
        <f>IFERROR(J26*$G$8,"")</f>
        <v/>
      </c>
      <c r="K34" s="8" t="str">
        <f>IFERROR(K26*$E$9,"")</f>
        <v/>
      </c>
      <c r="L34" s="8" t="str">
        <f>IFERROR(L26*$F$9,"")</f>
        <v/>
      </c>
      <c r="M34" s="8" t="str">
        <f>IFERROR(M26*$G$9,"")</f>
        <v/>
      </c>
      <c r="N34" s="8" t="str">
        <f>IFERROR(N26*$E$10,"")</f>
        <v/>
      </c>
      <c r="O34" s="8" t="str">
        <f>IFERROR(O26*$F$10,"")</f>
        <v/>
      </c>
      <c r="P34" s="8" t="str">
        <f>IFERROR(P26*$G$10,"")</f>
        <v/>
      </c>
    </row>
    <row r="36" spans="1:16" x14ac:dyDescent="0.35">
      <c r="A36" s="2" t="s">
        <v>54</v>
      </c>
    </row>
    <row r="37" spans="1:16" x14ac:dyDescent="0.35">
      <c r="A37" s="4" t="s">
        <v>24</v>
      </c>
      <c r="B37" s="4" t="str">
        <f>Справочник!$B$17</f>
        <v>Востребованность</v>
      </c>
      <c r="C37" s="4" t="str">
        <f>Справочник!$B$18</f>
        <v>Простота реализации MVP</v>
      </c>
      <c r="D37" s="4" t="str">
        <f>Справочник!$B$19</f>
        <v>Пригодность для оценки и планирования</v>
      </c>
      <c r="E37" s="4" t="str">
        <f>Справочник!$B$20</f>
        <v>Потенциал монетизации</v>
      </c>
      <c r="F37" s="4" t="str">
        <f>Справочник!$B$21</f>
        <v>Интерес и экспертиза команды</v>
      </c>
    </row>
    <row r="38" spans="1:16" x14ac:dyDescent="0.35">
      <c r="A38" s="9" t="s">
        <v>55</v>
      </c>
      <c r="B38" s="8" t="str">
        <f>IF(COUNT(D31:D34)&lt;4,"",MAX(D31:D34))</f>
        <v/>
      </c>
      <c r="C38" s="8" t="str">
        <f>IF(COUNT(G31:G34)&lt;4,"",MAX(G31:G34))</f>
        <v/>
      </c>
      <c r="D38" s="8" t="str">
        <f>IF(COUNT(J31:J34)&lt;4,"",MAX(J31:J34))</f>
        <v/>
      </c>
      <c r="E38" s="8" t="str">
        <f>IF(COUNT(M31:M34)&lt;4,"",MAX(M31:M34))</f>
        <v/>
      </c>
      <c r="F38" s="8" t="str">
        <f>IF(COUNT(P31:P34)&lt;4,"",MAX(P31:P34))</f>
        <v/>
      </c>
    </row>
    <row r="39" spans="1:16" x14ac:dyDescent="0.35">
      <c r="A39" s="9" t="s">
        <v>56</v>
      </c>
      <c r="B39" s="8" t="str">
        <f>IF(COUNT(B31:B34)&lt;4,"",MIN(B31:B34))</f>
        <v/>
      </c>
      <c r="C39" s="8" t="str">
        <f>IF(COUNT(E31:E34)&lt;4,"",MIN(E31:E34))</f>
        <v/>
      </c>
      <c r="D39" s="8" t="str">
        <f>IF(COUNT(H31:H34)&lt;4,"",MIN(H31:H34))</f>
        <v/>
      </c>
      <c r="E39" s="8" t="str">
        <f>IF(COUNT(K31:K34)&lt;4,"",MIN(K31:K34))</f>
        <v/>
      </c>
      <c r="F39" s="8" t="str">
        <f>IF(COUNT(N31:N34)&lt;4,"",MIN(N31:N34))</f>
        <v/>
      </c>
    </row>
    <row r="41" spans="1:16" x14ac:dyDescent="0.35">
      <c r="A41" s="2" t="s">
        <v>57</v>
      </c>
    </row>
    <row r="42" spans="1:16" x14ac:dyDescent="0.35">
      <c r="A42" s="4" t="s">
        <v>51</v>
      </c>
      <c r="B42" s="4" t="s">
        <v>58</v>
      </c>
      <c r="C42" s="4" t="s">
        <v>59</v>
      </c>
      <c r="D42" s="4" t="s">
        <v>60</v>
      </c>
      <c r="E42" s="4" t="s">
        <v>61</v>
      </c>
    </row>
    <row r="43" spans="1:16" x14ac:dyDescent="0.35">
      <c r="A43" s="3" t="str">
        <f>Справочник!$B$10</f>
        <v>Бронь</v>
      </c>
      <c r="B43" s="8" t="str">
        <f>IFERROR(SQRT(((B31-$B$38)^2+(C31-$B$38)^2+(D31-$B$38)^2)/3)+SQRT(((E31-$C$38)^2+(F31-$C$38)^2+(G31-$C$38)^2)/3)+SQRT(((H31-$D$38)^2+(I31-$D$38)^2+(J31-$D$38)^2)/3)+SQRT(((K31-$E$38)^2+(L31-$E$38)^2+(M31-$E$38)^2)/3)+SQRT(((N31-$F$38)^2+(O31-$F$38)^2+(P31-$F$38)^2)/3),"")</f>
        <v/>
      </c>
      <c r="C43" s="8" t="str">
        <f>IFERROR(SQRT(((B31-$B$39)^2+(C31-$B$39)^2+(D31-$B$39)^2)/3)+SQRT(((E31-$C$39)^2+(F31-$C$39)^2+(G31-$C$39)^2)/3)+SQRT(((H31-$D$39)^2+(I31-$D$39)^2+(J31-$D$39)^2)/3)+SQRT(((K31-$E$39)^2+(L31-$E$39)^2+(M31-$E$39)^2)/3)+SQRT(((N31-$F$39)^2+(O31-$F$39)^2+(P31-$F$39)^2)/3),"")</f>
        <v/>
      </c>
      <c r="D43" s="10" t="str">
        <f>IFERROR(C43/(B43+C43),"")</f>
        <v/>
      </c>
      <c r="E43" s="11" t="str">
        <f>IFERROR(RANK(D43,$D$43:$D$46,0),"")</f>
        <v/>
      </c>
    </row>
    <row r="44" spans="1:16" x14ac:dyDescent="0.35">
      <c r="A44" s="3" t="str">
        <f>Справочник!$B$11</f>
        <v>Бюджет</v>
      </c>
      <c r="B44" s="8" t="str">
        <f>IFERROR(SQRT(((B32-$B$38)^2+(C32-$B$38)^2+(D32-$B$38)^2)/3)+SQRT(((E32-$C$38)^2+(F32-$C$38)^2+(G32-$C$38)^2)/3)+SQRT(((H32-$D$38)^2+(I32-$D$38)^2+(J32-$D$38)^2)/3)+SQRT(((K32-$E$38)^2+(L32-$E$38)^2+(M32-$E$38)^2)/3)+SQRT(((N32-$F$38)^2+(O32-$F$38)^2+(P32-$F$38)^2)/3),"")</f>
        <v/>
      </c>
      <c r="C44" s="8" t="str">
        <f>IFERROR(SQRT(((B32-$B$39)^2+(C32-$B$39)^2+(D32-$B$39)^2)/3)+SQRT(((E32-$C$39)^2+(F32-$C$39)^2+(G32-$C$39)^2)/3)+SQRT(((H32-$D$39)^2+(I32-$D$39)^2+(J32-$D$39)^2)/3)+SQRT(((K32-$E$39)^2+(L32-$E$39)^2+(M32-$E$39)^2)/3)+SQRT(((N32-$F$39)^2+(O32-$F$39)^2+(P32-$F$39)^2)/3),"")</f>
        <v/>
      </c>
      <c r="D44" s="10" t="str">
        <f>IFERROR(C44/(B44+C44),"")</f>
        <v/>
      </c>
      <c r="E44" s="11" t="str">
        <f>IFERROR(RANK(D44,$D$43:$D$46,0),"")</f>
        <v/>
      </c>
    </row>
    <row r="45" spans="1:16" x14ac:dyDescent="0.35">
      <c r="A45" s="3" t="str">
        <f>Справочник!$B$12</f>
        <v>Запись</v>
      </c>
      <c r="B45" s="8" t="str">
        <f>IFERROR(SQRT(((B33-$B$38)^2+(C33-$B$38)^2+(D33-$B$38)^2)/3)+SQRT(((E33-$C$38)^2+(F33-$C$38)^2+(G33-$C$38)^2)/3)+SQRT(((H33-$D$38)^2+(I33-$D$38)^2+(J33-$D$38)^2)/3)+SQRT(((K33-$E$38)^2+(L33-$E$38)^2+(M33-$E$38)^2)/3)+SQRT(((N33-$F$38)^2+(O33-$F$38)^2+(P33-$F$38)^2)/3),"")</f>
        <v/>
      </c>
      <c r="C45" s="8" t="str">
        <f>IFERROR(SQRT(((B33-$B$39)^2+(C33-$B$39)^2+(D33-$B$39)^2)/3)+SQRT(((E33-$C$39)^2+(F33-$C$39)^2+(G33-$C$39)^2)/3)+SQRT(((H33-$D$39)^2+(I33-$D$39)^2+(J33-$D$39)^2)/3)+SQRT(((K33-$E$39)^2+(L33-$E$39)^2+(M33-$E$39)^2)/3)+SQRT(((N33-$F$39)^2+(O33-$F$39)^2+(P33-$F$39)^2)/3),"")</f>
        <v/>
      </c>
      <c r="D45" s="10" t="str">
        <f>IFERROR(C45/(B45+C45),"")</f>
        <v/>
      </c>
      <c r="E45" s="11" t="str">
        <f>IFERROR(RANK(D45,$D$43:$D$46,0),"")</f>
        <v/>
      </c>
    </row>
    <row r="46" spans="1:16" x14ac:dyDescent="0.35">
      <c r="A46" s="3" t="str">
        <f>Справочник!$B$13</f>
        <v>Привычки</v>
      </c>
      <c r="B46" s="8" t="str">
        <f>IFERROR(SQRT(((B34-$B$38)^2+(C34-$B$38)^2+(D34-$B$38)^2)/3)+SQRT(((E34-$C$38)^2+(F34-$C$38)^2+(G34-$C$38)^2)/3)+SQRT(((H34-$D$38)^2+(I34-$D$38)^2+(J34-$D$38)^2)/3)+SQRT(((K34-$E$38)^2+(L34-$E$38)^2+(M34-$E$38)^2)/3)+SQRT(((N34-$F$38)^2+(O34-$F$38)^2+(P34-$F$38)^2)/3),"")</f>
        <v/>
      </c>
      <c r="C46" s="8" t="str">
        <f>IFERROR(SQRT(((B34-$B$39)^2+(C34-$B$39)^2+(D34-$B$39)^2)/3)+SQRT(((E34-$C$39)^2+(F34-$C$39)^2+(G34-$C$39)^2)/3)+SQRT(((H34-$D$39)^2+(I34-$D$39)^2+(J34-$D$39)^2)/3)+SQRT(((K34-$E$39)^2+(L34-$E$39)^2+(M34-$E$39)^2)/3)+SQRT(((N34-$F$39)^2+(O34-$F$39)^2+(P34-$F$39)^2)/3),"")</f>
        <v/>
      </c>
      <c r="D46" s="10" t="str">
        <f>IFERROR(C46/(B46+C46),"")</f>
        <v/>
      </c>
      <c r="E46" s="11" t="str">
        <f>IFERROR(RANK(D46,$D$43:$D$46,0),"")</f>
        <v/>
      </c>
    </row>
  </sheetData>
  <mergeCells count="15">
    <mergeCell ref="B13:D13"/>
    <mergeCell ref="B21:D21"/>
    <mergeCell ref="E21:G21"/>
    <mergeCell ref="B29:D29"/>
    <mergeCell ref="E29:G29"/>
    <mergeCell ref="N29:P29"/>
    <mergeCell ref="E13:G13"/>
    <mergeCell ref="K13:M13"/>
    <mergeCell ref="H13:J13"/>
    <mergeCell ref="N13:P13"/>
    <mergeCell ref="K21:M21"/>
    <mergeCell ref="K29:M29"/>
    <mergeCell ref="H29:J29"/>
    <mergeCell ref="H21:J21"/>
    <mergeCell ref="N21:P2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Справочник</vt:lpstr>
      <vt:lpstr>Ввод</vt:lpstr>
      <vt:lpstr>Расчет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Polina</cp:lastModifiedBy>
  <dcterms:created xsi:type="dcterms:W3CDTF">2026-10-13T09:18:57Z</dcterms:created>
  <dcterms:modified xsi:type="dcterms:W3CDTF">2026-10-26T18:28:39Z</dcterms:modified>
</cp:coreProperties>
</file>