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правочник" sheetId="1" state="visible" r:id="rId1"/>
    <sheet xmlns:r="http://schemas.openxmlformats.org/officeDocument/2006/relationships" name="Ввод" sheetId="2" state="visible" r:id="rId2"/>
    <sheet xmlns:r="http://schemas.openxmlformats.org/officeDocument/2006/relationships" name="Расчет"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000"/>
  </numFmts>
  <fonts count="3">
    <font>
      <name val="Calibri"/>
      <family val="2"/>
      <color theme="1"/>
      <sz val="11"/>
      <scheme val="minor"/>
    </font>
    <font>
      <b val="1"/>
      <sz val="13"/>
    </font>
    <font>
      <b val="1"/>
    </font>
  </fonts>
  <fills count="5">
    <fill>
      <patternFill/>
    </fill>
    <fill>
      <patternFill patternType="gray125"/>
    </fill>
    <fill>
      <patternFill patternType="solid">
        <fgColor rgb="00E7E6E6"/>
      </patternFill>
    </fill>
    <fill>
      <patternFill patternType="solid">
        <fgColor rgb="00FFF2CC"/>
      </patternFill>
    </fill>
    <fill>
      <patternFill patternType="solid">
        <fgColor rgb="00E2EFDA"/>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1" pivotButton="0" quotePrefix="0" xfId="0"/>
    <xf numFmtId="0" fontId="2" fillId="2" borderId="1" pivotButton="0" quotePrefix="0" xfId="0"/>
    <xf numFmtId="0" fontId="2" fillId="2" borderId="1" applyAlignment="1" pivotButton="0" quotePrefix="0" xfId="0">
      <alignment wrapText="1"/>
    </xf>
    <xf numFmtId="0" fontId="0" fillId="3" borderId="1" pivotButton="0" quotePrefix="0" xfId="0"/>
    <xf numFmtId="164" fontId="0" fillId="0" borderId="1" pivotButton="0" quotePrefix="0" xfId="0"/>
    <xf numFmtId="165" fontId="0" fillId="0" borderId="1" pivotButton="0" quotePrefix="0" xfId="0"/>
    <xf numFmtId="0" fontId="2" fillId="0" borderId="1" pivotButton="0" quotePrefix="0" xfId="0"/>
    <xf numFmtId="165" fontId="0" fillId="4" borderId="1" pivotButton="0" quotePrefix="0" xfId="0"/>
    <xf numFmtId="0" fontId="0" fillId="4" borderId="1"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8" customWidth="1" min="1" max="1"/>
    <col width="40" customWidth="1" min="2" max="2"/>
    <col width="45" customWidth="1" min="3" max="3"/>
  </cols>
  <sheetData>
    <row r="1">
      <c r="A1" s="1" t="inlineStr">
        <is>
          <t>Справочник: эксперты, альтернативы, критерии</t>
        </is>
      </c>
    </row>
    <row r="2">
      <c r="A2" t="inlineStr">
        <is>
          <t>Названия меняются только здесь, остальные листы ссылаются на них формулами.</t>
        </is>
      </c>
    </row>
    <row r="3">
      <c r="A3" s="2" t="inlineStr">
        <is>
          <t>Эксперты</t>
        </is>
      </c>
    </row>
    <row r="4">
      <c r="A4" s="3" t="inlineStr">
        <is>
          <t>Э1</t>
        </is>
      </c>
      <c r="B4" s="3" t="inlineStr">
        <is>
          <t>Петров Артем</t>
        </is>
      </c>
    </row>
    <row r="5">
      <c r="A5" s="3" t="inlineStr">
        <is>
          <t>Э2</t>
        </is>
      </c>
      <c r="B5" s="3" t="inlineStr">
        <is>
          <t>Попова Полина</t>
        </is>
      </c>
    </row>
    <row r="6">
      <c r="A6" s="3" t="inlineStr">
        <is>
          <t>Э3</t>
        </is>
      </c>
      <c r="B6" s="3" t="inlineStr">
        <is>
          <t>Пауликайте Елона</t>
        </is>
      </c>
    </row>
    <row r="9">
      <c r="A9" s="4" t="inlineStr">
        <is>
          <t>Код</t>
        </is>
      </c>
      <c r="B9" s="4" t="inlineStr">
        <is>
          <t>Альтернатива (кратко)</t>
        </is>
      </c>
      <c r="C9" s="4" t="inlineStr">
        <is>
          <t>Описание</t>
        </is>
      </c>
    </row>
    <row r="10">
      <c r="A10" s="3" t="inlineStr">
        <is>
          <t>A1</t>
        </is>
      </c>
      <c r="B10" s="3" t="inlineStr">
        <is>
          <t>Бронь</t>
        </is>
      </c>
      <c r="C10" s="3" t="inlineStr">
        <is>
          <t>Бронирование переговорных и рабочих мест</t>
        </is>
      </c>
    </row>
    <row r="11">
      <c r="A11" s="3" t="inlineStr">
        <is>
          <t>A2</t>
        </is>
      </c>
      <c r="B11" s="3" t="inlineStr">
        <is>
          <t>Бюджет</t>
        </is>
      </c>
      <c r="C11" s="3" t="inlineStr">
        <is>
          <t>Совместный семейный бюджет</t>
        </is>
      </c>
    </row>
    <row r="12">
      <c r="A12" s="3" t="inlineStr">
        <is>
          <t>A3</t>
        </is>
      </c>
      <c r="B12" s="3" t="inlineStr">
        <is>
          <t>Запись</t>
        </is>
      </c>
      <c r="C12" s="3" t="inlineStr">
        <is>
          <t>Онлайн-запись к мастеру</t>
        </is>
      </c>
    </row>
    <row r="13">
      <c r="A13" s="3" t="inlineStr">
        <is>
          <t>A4</t>
        </is>
      </c>
      <c r="B13" s="3" t="inlineStr">
        <is>
          <t>Привычки</t>
        </is>
      </c>
      <c r="C13" s="3" t="inlineStr">
        <is>
          <t>Трекер привычек с челленджами</t>
        </is>
      </c>
    </row>
    <row r="16">
      <c r="A16" s="4" t="inlineStr">
        <is>
          <t>Код</t>
        </is>
      </c>
      <c r="B16" s="4" t="inlineStr">
        <is>
          <t>Критерий</t>
        </is>
      </c>
      <c r="C16" s="4" t="inlineStr">
        <is>
          <t>Тип (+ польза / - затраты)</t>
        </is>
      </c>
    </row>
    <row r="17">
      <c r="A17" s="3" t="inlineStr">
        <is>
          <t>K1</t>
        </is>
      </c>
      <c r="B17" s="3" t="inlineStr">
        <is>
          <t>Востребованность</t>
        </is>
      </c>
      <c r="C17" s="3" t="inlineStr">
        <is>
          <t>+</t>
        </is>
      </c>
    </row>
    <row r="18">
      <c r="A18" s="3" t="inlineStr">
        <is>
          <t>K2</t>
        </is>
      </c>
      <c r="B18" s="3" t="inlineStr">
        <is>
          <t>Простота реализации MVP</t>
        </is>
      </c>
      <c r="C18" s="3" t="inlineStr">
        <is>
          <t>+</t>
        </is>
      </c>
    </row>
    <row r="19">
      <c r="A19" s="3" t="inlineStr">
        <is>
          <t>K3</t>
        </is>
      </c>
      <c r="B19" s="3" t="inlineStr">
        <is>
          <t>Пригодность для оценки и планирования</t>
        </is>
      </c>
      <c r="C19" s="3" t="inlineStr">
        <is>
          <t>+</t>
        </is>
      </c>
    </row>
    <row r="20">
      <c r="A20" s="3" t="inlineStr">
        <is>
          <t>K4</t>
        </is>
      </c>
      <c r="B20" s="3" t="inlineStr">
        <is>
          <t>Потенциал монетизации</t>
        </is>
      </c>
      <c r="C20" s="3" t="inlineStr">
        <is>
          <t>+</t>
        </is>
      </c>
    </row>
    <row r="21">
      <c r="A21" s="3" t="inlineStr">
        <is>
          <t>K5</t>
        </is>
      </c>
      <c r="B21" s="3" t="inlineStr">
        <is>
          <t>Интерес и экспертиза команды</t>
        </is>
      </c>
      <c r="C21" s="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26" customWidth="1" min="1" max="1"/>
    <col width="18" customWidth="1" min="2" max="2"/>
    <col width="18" customWidth="1" min="3" max="3"/>
    <col width="18" customWidth="1" min="4" max="4"/>
    <col width="18" customWidth="1" min="5" max="5"/>
    <col width="18" customWidth="1" min="6" max="6"/>
  </cols>
  <sheetData>
    <row r="1">
      <c r="A1" s="1" t="inlineStr">
        <is>
          <t>Экспертные оценки по шкале 1-9 (заполнить желтые ячейки)</t>
        </is>
      </c>
    </row>
    <row r="3">
      <c r="A3" s="2">
        <f>"Эксперт 1: "&amp;Справочник!$B$4</f>
        <v/>
      </c>
    </row>
    <row r="4" ht="32" customHeight="1">
      <c r="A4" s="4" t="inlineStr">
        <is>
          <t>Важность критериев</t>
        </is>
      </c>
      <c r="B4" s="5">
        <f>Справочник!$B$17</f>
        <v/>
      </c>
      <c r="C4" s="5">
        <f>Справочник!$B$18</f>
        <v/>
      </c>
      <c r="D4" s="5">
        <f>Справочник!$B$19</f>
        <v/>
      </c>
      <c r="E4" s="5">
        <f>Справочник!$B$20</f>
        <v/>
      </c>
      <c r="F4" s="5">
        <f>Справочник!$B$21</f>
        <v/>
      </c>
    </row>
    <row r="5">
      <c r="A5" s="3" t="inlineStr">
        <is>
          <t>Оценка 1-9</t>
        </is>
      </c>
      <c r="B5" s="6" t="n">
        <v>6</v>
      </c>
      <c r="C5" s="6" t="n">
        <v>7</v>
      </c>
      <c r="D5" s="6" t="n">
        <v>9</v>
      </c>
      <c r="E5" s="6" t="n">
        <v>4</v>
      </c>
      <c r="F5" s="6" t="n">
        <v>6</v>
      </c>
    </row>
    <row r="7" ht="32" customHeight="1">
      <c r="A7" s="4" t="inlineStr">
        <is>
          <t>Альтернатива \ критерий</t>
        </is>
      </c>
      <c r="B7" s="5">
        <f>Справочник!$B$17</f>
        <v/>
      </c>
      <c r="C7" s="5">
        <f>Справочник!$B$18</f>
        <v/>
      </c>
      <c r="D7" s="5">
        <f>Справочник!$B$19</f>
        <v/>
      </c>
      <c r="E7" s="5">
        <f>Справочник!$B$20</f>
        <v/>
      </c>
      <c r="F7" s="5">
        <f>Справочник!$B$21</f>
        <v/>
      </c>
    </row>
    <row r="8">
      <c r="A8" s="3">
        <f>Справочник!$B$10</f>
        <v/>
      </c>
      <c r="B8" s="6" t="n">
        <v>6</v>
      </c>
      <c r="C8" s="6" t="n">
        <v>7</v>
      </c>
      <c r="D8" s="6" t="n">
        <v>8</v>
      </c>
      <c r="E8" s="6" t="n">
        <v>5</v>
      </c>
      <c r="F8" s="6" t="n">
        <v>6</v>
      </c>
    </row>
    <row r="9">
      <c r="A9" s="3">
        <f>Справочник!$B$11</f>
        <v/>
      </c>
      <c r="B9" s="6" t="n">
        <v>7</v>
      </c>
      <c r="C9" s="6" t="n">
        <v>6</v>
      </c>
      <c r="D9" s="6" t="n">
        <v>6</v>
      </c>
      <c r="E9" s="6" t="n">
        <v>5</v>
      </c>
      <c r="F9" s="6" t="n">
        <v>7</v>
      </c>
    </row>
    <row r="10">
      <c r="A10" s="3">
        <f>Справочник!$B$12</f>
        <v/>
      </c>
      <c r="B10" s="6" t="n">
        <v>8</v>
      </c>
      <c r="C10" s="6" t="n">
        <v>6</v>
      </c>
      <c r="D10" s="6" t="n">
        <v>9</v>
      </c>
      <c r="E10" s="6" t="n">
        <v>8</v>
      </c>
      <c r="F10" s="6" t="n">
        <v>6</v>
      </c>
    </row>
    <row r="11">
      <c r="A11" s="3">
        <f>Справочник!$B$13</f>
        <v/>
      </c>
      <c r="B11" s="6" t="n">
        <v>6</v>
      </c>
      <c r="C11" s="6" t="n">
        <v>8</v>
      </c>
      <c r="D11" s="6" t="n">
        <v>6</v>
      </c>
      <c r="E11" s="6" t="n">
        <v>4</v>
      </c>
      <c r="F11" s="6" t="n">
        <v>5</v>
      </c>
    </row>
    <row r="16">
      <c r="A16" s="2">
        <f>"Эксперт 2: "&amp;Справочник!$B$5</f>
        <v/>
      </c>
    </row>
    <row r="17" ht="32" customHeight="1">
      <c r="A17" s="4" t="inlineStr">
        <is>
          <t>Важность критериев</t>
        </is>
      </c>
      <c r="B17" s="5">
        <f>Справочник!$B$17</f>
        <v/>
      </c>
      <c r="C17" s="5">
        <f>Справочник!$B$18</f>
        <v/>
      </c>
      <c r="D17" s="5">
        <f>Справочник!$B$19</f>
        <v/>
      </c>
      <c r="E17" s="5">
        <f>Справочник!$B$20</f>
        <v/>
      </c>
      <c r="F17" s="5">
        <f>Справочник!$B$21</f>
        <v/>
      </c>
    </row>
    <row r="18">
      <c r="A18" s="3" t="inlineStr">
        <is>
          <t>Оценка 1-9</t>
        </is>
      </c>
      <c r="B18" s="6" t="n"/>
      <c r="C18" s="6" t="n"/>
      <c r="D18" s="6" t="n"/>
      <c r="E18" s="6" t="n"/>
      <c r="F18" s="6" t="n"/>
    </row>
    <row r="20" ht="32" customHeight="1">
      <c r="A20" s="4" t="inlineStr">
        <is>
          <t>Альтернатива \ критерий</t>
        </is>
      </c>
      <c r="B20" s="5">
        <f>Справочник!$B$17</f>
        <v/>
      </c>
      <c r="C20" s="5">
        <f>Справочник!$B$18</f>
        <v/>
      </c>
      <c r="D20" s="5">
        <f>Справочник!$B$19</f>
        <v/>
      </c>
      <c r="E20" s="5">
        <f>Справочник!$B$20</f>
        <v/>
      </c>
      <c r="F20" s="5">
        <f>Справочник!$B$21</f>
        <v/>
      </c>
    </row>
    <row r="21">
      <c r="A21" s="3">
        <f>Справочник!$B$10</f>
        <v/>
      </c>
      <c r="B21" s="6" t="n"/>
      <c r="C21" s="6" t="n"/>
      <c r="D21" s="6" t="n"/>
      <c r="E21" s="6" t="n"/>
      <c r="F21" s="6" t="n"/>
    </row>
    <row r="22">
      <c r="A22" s="3">
        <f>Справочник!$B$11</f>
        <v/>
      </c>
      <c r="B22" s="6" t="n"/>
      <c r="C22" s="6" t="n"/>
      <c r="D22" s="6" t="n"/>
      <c r="E22" s="6" t="n"/>
      <c r="F22" s="6" t="n"/>
    </row>
    <row r="23">
      <c r="A23" s="3">
        <f>Справочник!$B$12</f>
        <v/>
      </c>
      <c r="B23" s="6" t="n"/>
      <c r="C23" s="6" t="n"/>
      <c r="D23" s="6" t="n"/>
      <c r="E23" s="6" t="n"/>
      <c r="F23" s="6" t="n"/>
    </row>
    <row r="24">
      <c r="A24" s="3">
        <f>Справочник!$B$13</f>
        <v/>
      </c>
      <c r="B24" s="6" t="n"/>
      <c r="C24" s="6" t="n"/>
      <c r="D24" s="6" t="n"/>
      <c r="E24" s="6" t="n"/>
      <c r="F24" s="6" t="n"/>
    </row>
    <row r="29">
      <c r="A29" s="2">
        <f>"Эксперт 3: "&amp;Справочник!$B$6</f>
        <v/>
      </c>
    </row>
    <row r="30" ht="32" customHeight="1">
      <c r="A30" s="4" t="inlineStr">
        <is>
          <t>Важность критериев</t>
        </is>
      </c>
      <c r="B30" s="5">
        <f>Справочник!$B$17</f>
        <v/>
      </c>
      <c r="C30" s="5">
        <f>Справочник!$B$18</f>
        <v/>
      </c>
      <c r="D30" s="5">
        <f>Справочник!$B$19</f>
        <v/>
      </c>
      <c r="E30" s="5">
        <f>Справочник!$B$20</f>
        <v/>
      </c>
      <c r="F30" s="5">
        <f>Справочник!$B$21</f>
        <v/>
      </c>
    </row>
    <row r="31">
      <c r="A31" s="3" t="inlineStr">
        <is>
          <t>Оценка 1-9</t>
        </is>
      </c>
      <c r="B31" s="6" t="n"/>
      <c r="C31" s="6" t="n"/>
      <c r="D31" s="6" t="n"/>
      <c r="E31" s="6" t="n"/>
      <c r="F31" s="6" t="n"/>
    </row>
    <row r="33" ht="32" customHeight="1">
      <c r="A33" s="4" t="inlineStr">
        <is>
          <t>Альтернатива \ критерий</t>
        </is>
      </c>
      <c r="B33" s="5">
        <f>Справочник!$B$17</f>
        <v/>
      </c>
      <c r="C33" s="5">
        <f>Справочник!$B$18</f>
        <v/>
      </c>
      <c r="D33" s="5">
        <f>Справочник!$B$19</f>
        <v/>
      </c>
      <c r="E33" s="5">
        <f>Справочник!$B$20</f>
        <v/>
      </c>
      <c r="F33" s="5">
        <f>Справочник!$B$21</f>
        <v/>
      </c>
    </row>
    <row r="34">
      <c r="A34" s="3">
        <f>Справочник!$B$10</f>
        <v/>
      </c>
      <c r="B34" s="6" t="n"/>
      <c r="C34" s="6" t="n"/>
      <c r="D34" s="6" t="n"/>
      <c r="E34" s="6" t="n"/>
      <c r="F34" s="6" t="n"/>
    </row>
    <row r="35">
      <c r="A35" s="3">
        <f>Справочник!$B$11</f>
        <v/>
      </c>
      <c r="B35" s="6" t="n"/>
      <c r="C35" s="6" t="n"/>
      <c r="D35" s="6" t="n"/>
      <c r="E35" s="6" t="n"/>
      <c r="F35" s="6" t="n"/>
    </row>
    <row r="36">
      <c r="A36" s="3">
        <f>Справочник!$B$12</f>
        <v/>
      </c>
      <c r="B36" s="6" t="n"/>
      <c r="C36" s="6" t="n"/>
      <c r="D36" s="6" t="n"/>
      <c r="E36" s="6" t="n"/>
      <c r="F36" s="6" t="n"/>
    </row>
    <row r="37">
      <c r="A37" s="3">
        <f>Справочник!$B$13</f>
        <v/>
      </c>
      <c r="B37" s="6" t="n"/>
      <c r="C37" s="6" t="n"/>
      <c r="D37" s="6" t="n"/>
      <c r="E37" s="6" t="n"/>
      <c r="F37" s="6" t="n"/>
    </row>
  </sheetData>
  <dataValidations count="1">
    <dataValidation sqref="B5 B8 B9 B10 B11 B18 B21 B22 B23 B24 B31 B34 B35 B36 B37 C5 C8 C9 C10 C11 C18 C21 C22 C23 C24 C31 C34 C35 C36 C37 D5 D8 D9 D10 D11 D18 D21 D22 D23 D24 D31 D34 D35 D36 D37 E5 E8 E9 E10 E11 E18 E21 E22 E23 E24 E31 E34 E35 E36 E37 F5 F8 F9 F10 F11 F18 F21 F22 F23 F24 F31 F34 F35 F36 F37" showDropDown="0" showInputMessage="0" showErrorMessage="1" allowBlank="0" error="Целое число от 1 до 9" type="whole" operator="between">
      <formula1>1</formula1>
      <formula2>9</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6"/>
  <sheetViews>
    <sheetView workbookViewId="0">
      <selection activeCell="A1" sqref="A1"/>
    </sheetView>
  </sheetViews>
  <sheetFormatPr baseColWidth="8" defaultRowHeight="15"/>
  <cols>
    <col width="26"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s>
  <sheetData>
    <row r="1">
      <c r="A1" s="1" t="inlineStr">
        <is>
          <t>Нечеткий коллективный TOPSIS</t>
        </is>
      </c>
    </row>
    <row r="2">
      <c r="A2" t="inlineStr">
        <is>
          <t>ТНЧ = (MIN; MEDIAN; MAX) трех экспертных оценок = (пессимистичная; ожидаемая; оптимистичная)</t>
        </is>
      </c>
    </row>
    <row r="4">
      <c r="A4" s="2" t="inlineStr">
        <is>
          <t>1. Нечеткие веса критериев</t>
        </is>
      </c>
    </row>
    <row r="5">
      <c r="A5" s="4" t="inlineStr">
        <is>
          <t>Критерий</t>
        </is>
      </c>
      <c r="B5" s="4" t="inlineStr">
        <is>
          <t>l</t>
        </is>
      </c>
      <c r="C5" s="4" t="inlineStr">
        <is>
          <t>m</t>
        </is>
      </c>
      <c r="D5" s="4" t="inlineStr">
        <is>
          <t>u</t>
        </is>
      </c>
      <c r="E5" s="4" t="inlineStr">
        <is>
          <t>w_l = l/9</t>
        </is>
      </c>
      <c r="F5" s="4" t="inlineStr">
        <is>
          <t>w_m = m/9</t>
        </is>
      </c>
      <c r="G5" s="4" t="inlineStr">
        <is>
          <t>w_u = u/9</t>
        </is>
      </c>
    </row>
    <row r="6">
      <c r="A6" s="3">
        <f>Справочник!$B$17</f>
        <v/>
      </c>
      <c r="B6" s="3">
        <f>IF(COUNT(Ввод!B5,Ввод!B18,Ввод!B31)&lt;3,"",MIN(Ввод!B5,Ввод!B18,Ввод!B31))</f>
        <v/>
      </c>
      <c r="C6" s="3">
        <f>IF(COUNT(Ввод!B5,Ввод!B18,Ввод!B31)&lt;3,"",MEDIAN(Ввод!B5,Ввод!B18,Ввод!B31))</f>
        <v/>
      </c>
      <c r="D6" s="3">
        <f>IF(COUNT(Ввод!B5,Ввод!B18,Ввод!B31)&lt;3,"",MAX(Ввод!B5,Ввод!B18,Ввод!B31))</f>
        <v/>
      </c>
      <c r="E6" s="7">
        <f>IFERROR(B6/9,"")</f>
        <v/>
      </c>
      <c r="F6" s="7">
        <f>IFERROR(C6/9,"")</f>
        <v/>
      </c>
      <c r="G6" s="7">
        <f>IFERROR(D6/9,"")</f>
        <v/>
      </c>
    </row>
    <row r="7">
      <c r="A7" s="3">
        <f>Справочник!$B$18</f>
        <v/>
      </c>
      <c r="B7" s="3">
        <f>IF(COUNT(Ввод!C5,Ввод!C18,Ввод!C31)&lt;3,"",MIN(Ввод!C5,Ввод!C18,Ввод!C31))</f>
        <v/>
      </c>
      <c r="C7" s="3">
        <f>IF(COUNT(Ввод!C5,Ввод!C18,Ввод!C31)&lt;3,"",MEDIAN(Ввод!C5,Ввод!C18,Ввод!C31))</f>
        <v/>
      </c>
      <c r="D7" s="3">
        <f>IF(COUNT(Ввод!C5,Ввод!C18,Ввод!C31)&lt;3,"",MAX(Ввод!C5,Ввод!C18,Ввод!C31))</f>
        <v/>
      </c>
      <c r="E7" s="7">
        <f>IFERROR(B7/9,"")</f>
        <v/>
      </c>
      <c r="F7" s="7">
        <f>IFERROR(C7/9,"")</f>
        <v/>
      </c>
      <c r="G7" s="7">
        <f>IFERROR(D7/9,"")</f>
        <v/>
      </c>
    </row>
    <row r="8">
      <c r="A8" s="3">
        <f>Справочник!$B$19</f>
        <v/>
      </c>
      <c r="B8" s="3">
        <f>IF(COUNT(Ввод!D5,Ввод!D18,Ввод!D31)&lt;3,"",MIN(Ввод!D5,Ввод!D18,Ввод!D31))</f>
        <v/>
      </c>
      <c r="C8" s="3">
        <f>IF(COUNT(Ввод!D5,Ввод!D18,Ввод!D31)&lt;3,"",MEDIAN(Ввод!D5,Ввод!D18,Ввод!D31))</f>
        <v/>
      </c>
      <c r="D8" s="3">
        <f>IF(COUNT(Ввод!D5,Ввод!D18,Ввод!D31)&lt;3,"",MAX(Ввод!D5,Ввод!D18,Ввод!D31))</f>
        <v/>
      </c>
      <c r="E8" s="7">
        <f>IFERROR(B8/9,"")</f>
        <v/>
      </c>
      <c r="F8" s="7">
        <f>IFERROR(C8/9,"")</f>
        <v/>
      </c>
      <c r="G8" s="7">
        <f>IFERROR(D8/9,"")</f>
        <v/>
      </c>
    </row>
    <row r="9">
      <c r="A9" s="3">
        <f>Справочник!$B$20</f>
        <v/>
      </c>
      <c r="B9" s="3">
        <f>IF(COUNT(Ввод!E5,Ввод!E18,Ввод!E31)&lt;3,"",MIN(Ввод!E5,Ввод!E18,Ввод!E31))</f>
        <v/>
      </c>
      <c r="C9" s="3">
        <f>IF(COUNT(Ввод!E5,Ввод!E18,Ввод!E31)&lt;3,"",MEDIAN(Ввод!E5,Ввод!E18,Ввод!E31))</f>
        <v/>
      </c>
      <c r="D9" s="3">
        <f>IF(COUNT(Ввод!E5,Ввод!E18,Ввод!E31)&lt;3,"",MAX(Ввод!E5,Ввод!E18,Ввод!E31))</f>
        <v/>
      </c>
      <c r="E9" s="7">
        <f>IFERROR(B9/9,"")</f>
        <v/>
      </c>
      <c r="F9" s="7">
        <f>IFERROR(C9/9,"")</f>
        <v/>
      </c>
      <c r="G9" s="7">
        <f>IFERROR(D9/9,"")</f>
        <v/>
      </c>
    </row>
    <row r="10">
      <c r="A10" s="3">
        <f>Справочник!$B$21</f>
        <v/>
      </c>
      <c r="B10" s="3">
        <f>IF(COUNT(Ввод!F5,Ввод!F18,Ввод!F31)&lt;3,"",MIN(Ввод!F5,Ввод!F18,Ввод!F31))</f>
        <v/>
      </c>
      <c r="C10" s="3">
        <f>IF(COUNT(Ввод!F5,Ввод!F18,Ввод!F31)&lt;3,"",MEDIAN(Ввод!F5,Ввод!F18,Ввод!F31))</f>
        <v/>
      </c>
      <c r="D10" s="3">
        <f>IF(COUNT(Ввод!F5,Ввод!F18,Ввод!F31)&lt;3,"",MAX(Ввод!F5,Ввод!F18,Ввод!F31))</f>
        <v/>
      </c>
      <c r="E10" s="7">
        <f>IFERROR(B10/9,"")</f>
        <v/>
      </c>
      <c r="F10" s="7">
        <f>IFERROR(C10/9,"")</f>
        <v/>
      </c>
      <c r="G10" s="7">
        <f>IFERROR(D10/9,"")</f>
        <v/>
      </c>
    </row>
    <row r="12">
      <c r="A12" s="2" t="inlineStr">
        <is>
          <t>2. Нечеткая матрица решений (агрегированные оценки)</t>
        </is>
      </c>
    </row>
    <row r="13">
      <c r="A13" s="4" t="inlineStr">
        <is>
          <t>Альтернатива</t>
        </is>
      </c>
      <c r="B13" s="4">
        <f>Справочник!$B$17</f>
        <v/>
      </c>
      <c r="C13" s="12" t="n"/>
      <c r="D13" s="13" t="n"/>
      <c r="E13" s="4">
        <f>Справочник!$B$18</f>
        <v/>
      </c>
      <c r="F13" s="12" t="n"/>
      <c r="G13" s="13" t="n"/>
      <c r="H13" s="4">
        <f>Справочник!$B$19</f>
        <v/>
      </c>
      <c r="I13" s="12" t="n"/>
      <c r="J13" s="13" t="n"/>
      <c r="K13" s="4">
        <f>Справочник!$B$20</f>
        <v/>
      </c>
      <c r="L13" s="12" t="n"/>
      <c r="M13" s="13" t="n"/>
      <c r="N13" s="4">
        <f>Справочник!$B$21</f>
        <v/>
      </c>
      <c r="O13" s="12" t="n"/>
      <c r="P13" s="13" t="n"/>
    </row>
    <row r="14">
      <c r="A14" s="4" t="inlineStr"/>
      <c r="B14" s="4" t="inlineStr">
        <is>
          <t>l</t>
        </is>
      </c>
      <c r="C14" s="4" t="inlineStr">
        <is>
          <t>m</t>
        </is>
      </c>
      <c r="D14" s="4" t="inlineStr">
        <is>
          <t>u</t>
        </is>
      </c>
      <c r="E14" s="4" t="inlineStr">
        <is>
          <t>l</t>
        </is>
      </c>
      <c r="F14" s="4" t="inlineStr">
        <is>
          <t>m</t>
        </is>
      </c>
      <c r="G14" s="4" t="inlineStr">
        <is>
          <t>u</t>
        </is>
      </c>
      <c r="H14" s="4" t="inlineStr">
        <is>
          <t>l</t>
        </is>
      </c>
      <c r="I14" s="4" t="inlineStr">
        <is>
          <t>m</t>
        </is>
      </c>
      <c r="J14" s="4" t="inlineStr">
        <is>
          <t>u</t>
        </is>
      </c>
      <c r="K14" s="4" t="inlineStr">
        <is>
          <t>l</t>
        </is>
      </c>
      <c r="L14" s="4" t="inlineStr">
        <is>
          <t>m</t>
        </is>
      </c>
      <c r="M14" s="4" t="inlineStr">
        <is>
          <t>u</t>
        </is>
      </c>
      <c r="N14" s="4" t="inlineStr">
        <is>
          <t>l</t>
        </is>
      </c>
      <c r="O14" s="4" t="inlineStr">
        <is>
          <t>m</t>
        </is>
      </c>
      <c r="P14" s="4" t="inlineStr">
        <is>
          <t>u</t>
        </is>
      </c>
    </row>
    <row r="15">
      <c r="A15" s="3">
        <f>Справочник!$B$10</f>
        <v/>
      </c>
      <c r="B15" s="3">
        <f>IF(COUNT(Ввод!B8,Ввод!B21,Ввод!B34)&lt;3,"",MIN(Ввод!B8,Ввод!B21,Ввод!B34))</f>
        <v/>
      </c>
      <c r="C15" s="3">
        <f>IF(COUNT(Ввод!B8,Ввод!B21,Ввод!B34)&lt;3,"",MEDIAN(Ввод!B8,Ввод!B21,Ввод!B34))</f>
        <v/>
      </c>
      <c r="D15" s="3">
        <f>IF(COUNT(Ввод!B8,Ввод!B21,Ввод!B34)&lt;3,"",MAX(Ввод!B8,Ввод!B21,Ввод!B34))</f>
        <v/>
      </c>
      <c r="E15" s="3">
        <f>IF(COUNT(Ввод!C8,Ввод!C21,Ввод!C34)&lt;3,"",MIN(Ввод!C8,Ввод!C21,Ввод!C34))</f>
        <v/>
      </c>
      <c r="F15" s="3">
        <f>IF(COUNT(Ввод!C8,Ввод!C21,Ввод!C34)&lt;3,"",MEDIAN(Ввод!C8,Ввод!C21,Ввод!C34))</f>
        <v/>
      </c>
      <c r="G15" s="3">
        <f>IF(COUNT(Ввод!C8,Ввод!C21,Ввод!C34)&lt;3,"",MAX(Ввод!C8,Ввод!C21,Ввод!C34))</f>
        <v/>
      </c>
      <c r="H15" s="3">
        <f>IF(COUNT(Ввод!D8,Ввод!D21,Ввод!D34)&lt;3,"",MIN(Ввод!D8,Ввод!D21,Ввод!D34))</f>
        <v/>
      </c>
      <c r="I15" s="3">
        <f>IF(COUNT(Ввод!D8,Ввод!D21,Ввод!D34)&lt;3,"",MEDIAN(Ввод!D8,Ввод!D21,Ввод!D34))</f>
        <v/>
      </c>
      <c r="J15" s="3">
        <f>IF(COUNT(Ввод!D8,Ввод!D21,Ввод!D34)&lt;3,"",MAX(Ввод!D8,Ввод!D21,Ввод!D34))</f>
        <v/>
      </c>
      <c r="K15" s="3">
        <f>IF(COUNT(Ввод!E8,Ввод!E21,Ввод!E34)&lt;3,"",MIN(Ввод!E8,Ввод!E21,Ввод!E34))</f>
        <v/>
      </c>
      <c r="L15" s="3">
        <f>IF(COUNT(Ввод!E8,Ввод!E21,Ввод!E34)&lt;3,"",MEDIAN(Ввод!E8,Ввод!E21,Ввод!E34))</f>
        <v/>
      </c>
      <c r="M15" s="3">
        <f>IF(COUNT(Ввод!E8,Ввод!E21,Ввод!E34)&lt;3,"",MAX(Ввод!E8,Ввод!E21,Ввод!E34))</f>
        <v/>
      </c>
      <c r="N15" s="3">
        <f>IF(COUNT(Ввод!F8,Ввод!F21,Ввод!F34)&lt;3,"",MIN(Ввод!F8,Ввод!F21,Ввод!F34))</f>
        <v/>
      </c>
      <c r="O15" s="3">
        <f>IF(COUNT(Ввод!F8,Ввод!F21,Ввод!F34)&lt;3,"",MEDIAN(Ввод!F8,Ввод!F21,Ввод!F34))</f>
        <v/>
      </c>
      <c r="P15" s="3">
        <f>IF(COUNT(Ввод!F8,Ввод!F21,Ввод!F34)&lt;3,"",MAX(Ввод!F8,Ввод!F21,Ввод!F34))</f>
        <v/>
      </c>
    </row>
    <row r="16">
      <c r="A16" s="3">
        <f>Справочник!$B$11</f>
        <v/>
      </c>
      <c r="B16" s="3">
        <f>IF(COUNT(Ввод!B9,Ввод!B22,Ввод!B35)&lt;3,"",MIN(Ввод!B9,Ввод!B22,Ввод!B35))</f>
        <v/>
      </c>
      <c r="C16" s="3">
        <f>IF(COUNT(Ввод!B9,Ввод!B22,Ввод!B35)&lt;3,"",MEDIAN(Ввод!B9,Ввод!B22,Ввод!B35))</f>
        <v/>
      </c>
      <c r="D16" s="3">
        <f>IF(COUNT(Ввод!B9,Ввод!B22,Ввод!B35)&lt;3,"",MAX(Ввод!B9,Ввод!B22,Ввод!B35))</f>
        <v/>
      </c>
      <c r="E16" s="3">
        <f>IF(COUNT(Ввод!C9,Ввод!C22,Ввод!C35)&lt;3,"",MIN(Ввод!C9,Ввод!C22,Ввод!C35))</f>
        <v/>
      </c>
      <c r="F16" s="3">
        <f>IF(COUNT(Ввод!C9,Ввод!C22,Ввод!C35)&lt;3,"",MEDIAN(Ввод!C9,Ввод!C22,Ввод!C35))</f>
        <v/>
      </c>
      <c r="G16" s="3">
        <f>IF(COUNT(Ввод!C9,Ввод!C22,Ввод!C35)&lt;3,"",MAX(Ввод!C9,Ввод!C22,Ввод!C35))</f>
        <v/>
      </c>
      <c r="H16" s="3">
        <f>IF(COUNT(Ввод!D9,Ввод!D22,Ввод!D35)&lt;3,"",MIN(Ввод!D9,Ввод!D22,Ввод!D35))</f>
        <v/>
      </c>
      <c r="I16" s="3">
        <f>IF(COUNT(Ввод!D9,Ввод!D22,Ввод!D35)&lt;3,"",MEDIAN(Ввод!D9,Ввод!D22,Ввод!D35))</f>
        <v/>
      </c>
      <c r="J16" s="3">
        <f>IF(COUNT(Ввод!D9,Ввод!D22,Ввод!D35)&lt;3,"",MAX(Ввод!D9,Ввод!D22,Ввод!D35))</f>
        <v/>
      </c>
      <c r="K16" s="3">
        <f>IF(COUNT(Ввод!E9,Ввод!E22,Ввод!E35)&lt;3,"",MIN(Ввод!E9,Ввод!E22,Ввод!E35))</f>
        <v/>
      </c>
      <c r="L16" s="3">
        <f>IF(COUNT(Ввод!E9,Ввод!E22,Ввод!E35)&lt;3,"",MEDIAN(Ввод!E9,Ввод!E22,Ввод!E35))</f>
        <v/>
      </c>
      <c r="M16" s="3">
        <f>IF(COUNT(Ввод!E9,Ввод!E22,Ввод!E35)&lt;3,"",MAX(Ввод!E9,Ввод!E22,Ввод!E35))</f>
        <v/>
      </c>
      <c r="N16" s="3">
        <f>IF(COUNT(Ввод!F9,Ввод!F22,Ввод!F35)&lt;3,"",MIN(Ввод!F9,Ввод!F22,Ввод!F35))</f>
        <v/>
      </c>
      <c r="O16" s="3">
        <f>IF(COUNT(Ввод!F9,Ввод!F22,Ввод!F35)&lt;3,"",MEDIAN(Ввод!F9,Ввод!F22,Ввод!F35))</f>
        <v/>
      </c>
      <c r="P16" s="3">
        <f>IF(COUNT(Ввод!F9,Ввод!F22,Ввод!F35)&lt;3,"",MAX(Ввод!F9,Ввод!F22,Ввод!F35))</f>
        <v/>
      </c>
    </row>
    <row r="17">
      <c r="A17" s="3">
        <f>Справочник!$B$12</f>
        <v/>
      </c>
      <c r="B17" s="3">
        <f>IF(COUNT(Ввод!B10,Ввод!B23,Ввод!B36)&lt;3,"",MIN(Ввод!B10,Ввод!B23,Ввод!B36))</f>
        <v/>
      </c>
      <c r="C17" s="3">
        <f>IF(COUNT(Ввод!B10,Ввод!B23,Ввод!B36)&lt;3,"",MEDIAN(Ввод!B10,Ввод!B23,Ввод!B36))</f>
        <v/>
      </c>
      <c r="D17" s="3">
        <f>IF(COUNT(Ввод!B10,Ввод!B23,Ввод!B36)&lt;3,"",MAX(Ввод!B10,Ввод!B23,Ввод!B36))</f>
        <v/>
      </c>
      <c r="E17" s="3">
        <f>IF(COUNT(Ввод!C10,Ввод!C23,Ввод!C36)&lt;3,"",MIN(Ввод!C10,Ввод!C23,Ввод!C36))</f>
        <v/>
      </c>
      <c r="F17" s="3">
        <f>IF(COUNT(Ввод!C10,Ввод!C23,Ввод!C36)&lt;3,"",MEDIAN(Ввод!C10,Ввод!C23,Ввод!C36))</f>
        <v/>
      </c>
      <c r="G17" s="3">
        <f>IF(COUNT(Ввод!C10,Ввод!C23,Ввод!C36)&lt;3,"",MAX(Ввод!C10,Ввод!C23,Ввод!C36))</f>
        <v/>
      </c>
      <c r="H17" s="3">
        <f>IF(COUNT(Ввод!D10,Ввод!D23,Ввод!D36)&lt;3,"",MIN(Ввод!D10,Ввод!D23,Ввод!D36))</f>
        <v/>
      </c>
      <c r="I17" s="3">
        <f>IF(COUNT(Ввод!D10,Ввод!D23,Ввод!D36)&lt;3,"",MEDIAN(Ввод!D10,Ввод!D23,Ввод!D36))</f>
        <v/>
      </c>
      <c r="J17" s="3">
        <f>IF(COUNT(Ввод!D10,Ввод!D23,Ввод!D36)&lt;3,"",MAX(Ввод!D10,Ввод!D23,Ввод!D36))</f>
        <v/>
      </c>
      <c r="K17" s="3">
        <f>IF(COUNT(Ввод!E10,Ввод!E23,Ввод!E36)&lt;3,"",MIN(Ввод!E10,Ввод!E23,Ввод!E36))</f>
        <v/>
      </c>
      <c r="L17" s="3">
        <f>IF(COUNT(Ввод!E10,Ввод!E23,Ввод!E36)&lt;3,"",MEDIAN(Ввод!E10,Ввод!E23,Ввод!E36))</f>
        <v/>
      </c>
      <c r="M17" s="3">
        <f>IF(COUNT(Ввод!E10,Ввод!E23,Ввод!E36)&lt;3,"",MAX(Ввод!E10,Ввод!E23,Ввод!E36))</f>
        <v/>
      </c>
      <c r="N17" s="3">
        <f>IF(COUNT(Ввод!F10,Ввод!F23,Ввод!F36)&lt;3,"",MIN(Ввод!F10,Ввод!F23,Ввод!F36))</f>
        <v/>
      </c>
      <c r="O17" s="3">
        <f>IF(COUNT(Ввод!F10,Ввод!F23,Ввод!F36)&lt;3,"",MEDIAN(Ввод!F10,Ввод!F23,Ввод!F36))</f>
        <v/>
      </c>
      <c r="P17" s="3">
        <f>IF(COUNT(Ввод!F10,Ввод!F23,Ввод!F36)&lt;3,"",MAX(Ввод!F10,Ввод!F23,Ввод!F36))</f>
        <v/>
      </c>
    </row>
    <row r="18">
      <c r="A18" s="3">
        <f>Справочник!$B$13</f>
        <v/>
      </c>
      <c r="B18" s="3">
        <f>IF(COUNT(Ввод!B11,Ввод!B24,Ввод!B37)&lt;3,"",MIN(Ввод!B11,Ввод!B24,Ввод!B37))</f>
        <v/>
      </c>
      <c r="C18" s="3">
        <f>IF(COUNT(Ввод!B11,Ввод!B24,Ввод!B37)&lt;3,"",MEDIAN(Ввод!B11,Ввод!B24,Ввод!B37))</f>
        <v/>
      </c>
      <c r="D18" s="3">
        <f>IF(COUNT(Ввод!B11,Ввод!B24,Ввод!B37)&lt;3,"",MAX(Ввод!B11,Ввод!B24,Ввод!B37))</f>
        <v/>
      </c>
      <c r="E18" s="3">
        <f>IF(COUNT(Ввод!C11,Ввод!C24,Ввод!C37)&lt;3,"",MIN(Ввод!C11,Ввод!C24,Ввод!C37))</f>
        <v/>
      </c>
      <c r="F18" s="3">
        <f>IF(COUNT(Ввод!C11,Ввод!C24,Ввод!C37)&lt;3,"",MEDIAN(Ввод!C11,Ввод!C24,Ввод!C37))</f>
        <v/>
      </c>
      <c r="G18" s="3">
        <f>IF(COUNT(Ввод!C11,Ввод!C24,Ввод!C37)&lt;3,"",MAX(Ввод!C11,Ввод!C24,Ввод!C37))</f>
        <v/>
      </c>
      <c r="H18" s="3">
        <f>IF(COUNT(Ввод!D11,Ввод!D24,Ввод!D37)&lt;3,"",MIN(Ввод!D11,Ввод!D24,Ввод!D37))</f>
        <v/>
      </c>
      <c r="I18" s="3">
        <f>IF(COUNT(Ввод!D11,Ввод!D24,Ввод!D37)&lt;3,"",MEDIAN(Ввод!D11,Ввод!D24,Ввод!D37))</f>
        <v/>
      </c>
      <c r="J18" s="3">
        <f>IF(COUNT(Ввод!D11,Ввод!D24,Ввод!D37)&lt;3,"",MAX(Ввод!D11,Ввод!D24,Ввод!D37))</f>
        <v/>
      </c>
      <c r="K18" s="3">
        <f>IF(COUNT(Ввод!E11,Ввод!E24,Ввод!E37)&lt;3,"",MIN(Ввод!E11,Ввод!E24,Ввод!E37))</f>
        <v/>
      </c>
      <c r="L18" s="3">
        <f>IF(COUNT(Ввод!E11,Ввод!E24,Ввод!E37)&lt;3,"",MEDIAN(Ввод!E11,Ввод!E24,Ввод!E37))</f>
        <v/>
      </c>
      <c r="M18" s="3">
        <f>IF(COUNT(Ввод!E11,Ввод!E24,Ввод!E37)&lt;3,"",MAX(Ввод!E11,Ввод!E24,Ввод!E37))</f>
        <v/>
      </c>
      <c r="N18" s="3">
        <f>IF(COUNT(Ввод!F11,Ввод!F24,Ввод!F37)&lt;3,"",MIN(Ввод!F11,Ввод!F24,Ввод!F37))</f>
        <v/>
      </c>
      <c r="O18" s="3">
        <f>IF(COUNT(Ввод!F11,Ввод!F24,Ввод!F37)&lt;3,"",MEDIAN(Ввод!F11,Ввод!F24,Ввод!F37))</f>
        <v/>
      </c>
      <c r="P18" s="3">
        <f>IF(COUNT(Ввод!F11,Ввод!F24,Ввод!F37)&lt;3,"",MAX(Ввод!F11,Ввод!F24,Ввод!F37))</f>
        <v/>
      </c>
    </row>
    <row r="20">
      <c r="A20" s="2" t="inlineStr">
        <is>
          <t>3. Нормализованная матрица (польза: x/max u; затраты: min l/x в обратном порядке)</t>
        </is>
      </c>
    </row>
    <row r="21">
      <c r="A21" s="4" t="inlineStr">
        <is>
          <t>Альтернатива</t>
        </is>
      </c>
      <c r="B21" s="4">
        <f>Справочник!$B$17</f>
        <v/>
      </c>
      <c r="C21" s="12" t="n"/>
      <c r="D21" s="13" t="n"/>
      <c r="E21" s="4">
        <f>Справочник!$B$18</f>
        <v/>
      </c>
      <c r="F21" s="12" t="n"/>
      <c r="G21" s="13" t="n"/>
      <c r="H21" s="4">
        <f>Справочник!$B$19</f>
        <v/>
      </c>
      <c r="I21" s="12" t="n"/>
      <c r="J21" s="13" t="n"/>
      <c r="K21" s="4">
        <f>Справочник!$B$20</f>
        <v/>
      </c>
      <c r="L21" s="12" t="n"/>
      <c r="M21" s="13" t="n"/>
      <c r="N21" s="4">
        <f>Справочник!$B$21</f>
        <v/>
      </c>
      <c r="O21" s="12" t="n"/>
      <c r="P21" s="13" t="n"/>
    </row>
    <row r="22">
      <c r="A22" s="4" t="inlineStr"/>
      <c r="B22" s="4" t="inlineStr">
        <is>
          <t>l</t>
        </is>
      </c>
      <c r="C22" s="4" t="inlineStr">
        <is>
          <t>m</t>
        </is>
      </c>
      <c r="D22" s="4" t="inlineStr">
        <is>
          <t>u</t>
        </is>
      </c>
      <c r="E22" s="4" t="inlineStr">
        <is>
          <t>l</t>
        </is>
      </c>
      <c r="F22" s="4" t="inlineStr">
        <is>
          <t>m</t>
        </is>
      </c>
      <c r="G22" s="4" t="inlineStr">
        <is>
          <t>u</t>
        </is>
      </c>
      <c r="H22" s="4" t="inlineStr">
        <is>
          <t>l</t>
        </is>
      </c>
      <c r="I22" s="4" t="inlineStr">
        <is>
          <t>m</t>
        </is>
      </c>
      <c r="J22" s="4" t="inlineStr">
        <is>
          <t>u</t>
        </is>
      </c>
      <c r="K22" s="4" t="inlineStr">
        <is>
          <t>l</t>
        </is>
      </c>
      <c r="L22" s="4" t="inlineStr">
        <is>
          <t>m</t>
        </is>
      </c>
      <c r="M22" s="4" t="inlineStr">
        <is>
          <t>u</t>
        </is>
      </c>
      <c r="N22" s="4" t="inlineStr">
        <is>
          <t>l</t>
        </is>
      </c>
      <c r="O22" s="4" t="inlineStr">
        <is>
          <t>m</t>
        </is>
      </c>
      <c r="P22" s="4" t="inlineStr">
        <is>
          <t>u</t>
        </is>
      </c>
    </row>
    <row r="23">
      <c r="A23" s="3">
        <f>Справочник!$B$10</f>
        <v/>
      </c>
      <c r="B23" s="7">
        <f>IFERROR(IF(Справочник!$C$17="-",MIN($B$15:$B$18)/D15,B15/MAX($D$15:$D$18)),"")</f>
        <v/>
      </c>
      <c r="C23" s="7">
        <f>IFERROR(IF(Справочник!$C$17="-",MIN($B$15:$B$18)/C15,C15/MAX($D$15:$D$18)),"")</f>
        <v/>
      </c>
      <c r="D23" s="7">
        <f>IFERROR(IF(Справочник!$C$17="-",MIN($B$15:$B$18)/B15,D15/MAX($D$15:$D$18)),"")</f>
        <v/>
      </c>
      <c r="E23" s="7">
        <f>IFERROR(IF(Справочник!$C$18="-",MIN($E$15:$E$18)/G15,E15/MAX($G$15:$G$18)),"")</f>
        <v/>
      </c>
      <c r="F23" s="7">
        <f>IFERROR(IF(Справочник!$C$18="-",MIN($E$15:$E$18)/F15,F15/MAX($G$15:$G$18)),"")</f>
        <v/>
      </c>
      <c r="G23" s="7">
        <f>IFERROR(IF(Справочник!$C$18="-",MIN($E$15:$E$18)/E15,G15/MAX($G$15:$G$18)),"")</f>
        <v/>
      </c>
      <c r="H23" s="7">
        <f>IFERROR(IF(Справочник!$C$19="-",MIN($H$15:$H$18)/J15,H15/MAX($J$15:$J$18)),"")</f>
        <v/>
      </c>
      <c r="I23" s="7">
        <f>IFERROR(IF(Справочник!$C$19="-",MIN($H$15:$H$18)/I15,I15/MAX($J$15:$J$18)),"")</f>
        <v/>
      </c>
      <c r="J23" s="7">
        <f>IFERROR(IF(Справочник!$C$19="-",MIN($H$15:$H$18)/H15,J15/MAX($J$15:$J$18)),"")</f>
        <v/>
      </c>
      <c r="K23" s="7">
        <f>IFERROR(IF(Справочник!$C$20="-",MIN($K$15:$K$18)/M15,K15/MAX($M$15:$M$18)),"")</f>
        <v/>
      </c>
      <c r="L23" s="7">
        <f>IFERROR(IF(Справочник!$C$20="-",MIN($K$15:$K$18)/L15,L15/MAX($M$15:$M$18)),"")</f>
        <v/>
      </c>
      <c r="M23" s="7">
        <f>IFERROR(IF(Справочник!$C$20="-",MIN($K$15:$K$18)/K15,M15/MAX($M$15:$M$18)),"")</f>
        <v/>
      </c>
      <c r="N23" s="7">
        <f>IFERROR(IF(Справочник!$C$21="-",MIN($N$15:$N$18)/P15,N15/MAX($P$15:$P$18)),"")</f>
        <v/>
      </c>
      <c r="O23" s="7">
        <f>IFERROR(IF(Справочник!$C$21="-",MIN($N$15:$N$18)/O15,O15/MAX($P$15:$P$18)),"")</f>
        <v/>
      </c>
      <c r="P23" s="7">
        <f>IFERROR(IF(Справочник!$C$21="-",MIN($N$15:$N$18)/N15,P15/MAX($P$15:$P$18)),"")</f>
        <v/>
      </c>
    </row>
    <row r="24">
      <c r="A24" s="3">
        <f>Справочник!$B$11</f>
        <v/>
      </c>
      <c r="B24" s="7">
        <f>IFERROR(IF(Справочник!$C$17="-",MIN($B$15:$B$18)/D16,B16/MAX($D$15:$D$18)),"")</f>
        <v/>
      </c>
      <c r="C24" s="7">
        <f>IFERROR(IF(Справочник!$C$17="-",MIN($B$15:$B$18)/C16,C16/MAX($D$15:$D$18)),"")</f>
        <v/>
      </c>
      <c r="D24" s="7">
        <f>IFERROR(IF(Справочник!$C$17="-",MIN($B$15:$B$18)/B16,D16/MAX($D$15:$D$18)),"")</f>
        <v/>
      </c>
      <c r="E24" s="7">
        <f>IFERROR(IF(Справочник!$C$18="-",MIN($E$15:$E$18)/G16,E16/MAX($G$15:$G$18)),"")</f>
        <v/>
      </c>
      <c r="F24" s="7">
        <f>IFERROR(IF(Справочник!$C$18="-",MIN($E$15:$E$18)/F16,F16/MAX($G$15:$G$18)),"")</f>
        <v/>
      </c>
      <c r="G24" s="7">
        <f>IFERROR(IF(Справочник!$C$18="-",MIN($E$15:$E$18)/E16,G16/MAX($G$15:$G$18)),"")</f>
        <v/>
      </c>
      <c r="H24" s="7">
        <f>IFERROR(IF(Справочник!$C$19="-",MIN($H$15:$H$18)/J16,H16/MAX($J$15:$J$18)),"")</f>
        <v/>
      </c>
      <c r="I24" s="7">
        <f>IFERROR(IF(Справочник!$C$19="-",MIN($H$15:$H$18)/I16,I16/MAX($J$15:$J$18)),"")</f>
        <v/>
      </c>
      <c r="J24" s="7">
        <f>IFERROR(IF(Справочник!$C$19="-",MIN($H$15:$H$18)/H16,J16/MAX($J$15:$J$18)),"")</f>
        <v/>
      </c>
      <c r="K24" s="7">
        <f>IFERROR(IF(Справочник!$C$20="-",MIN($K$15:$K$18)/M16,K16/MAX($M$15:$M$18)),"")</f>
        <v/>
      </c>
      <c r="L24" s="7">
        <f>IFERROR(IF(Справочник!$C$20="-",MIN($K$15:$K$18)/L16,L16/MAX($M$15:$M$18)),"")</f>
        <v/>
      </c>
      <c r="M24" s="7">
        <f>IFERROR(IF(Справочник!$C$20="-",MIN($K$15:$K$18)/K16,M16/MAX($M$15:$M$18)),"")</f>
        <v/>
      </c>
      <c r="N24" s="7">
        <f>IFERROR(IF(Справочник!$C$21="-",MIN($N$15:$N$18)/P16,N16/MAX($P$15:$P$18)),"")</f>
        <v/>
      </c>
      <c r="O24" s="7">
        <f>IFERROR(IF(Справочник!$C$21="-",MIN($N$15:$N$18)/O16,O16/MAX($P$15:$P$18)),"")</f>
        <v/>
      </c>
      <c r="P24" s="7">
        <f>IFERROR(IF(Справочник!$C$21="-",MIN($N$15:$N$18)/N16,P16/MAX($P$15:$P$18)),"")</f>
        <v/>
      </c>
    </row>
    <row r="25">
      <c r="A25" s="3">
        <f>Справочник!$B$12</f>
        <v/>
      </c>
      <c r="B25" s="7">
        <f>IFERROR(IF(Справочник!$C$17="-",MIN($B$15:$B$18)/D17,B17/MAX($D$15:$D$18)),"")</f>
        <v/>
      </c>
      <c r="C25" s="7">
        <f>IFERROR(IF(Справочник!$C$17="-",MIN($B$15:$B$18)/C17,C17/MAX($D$15:$D$18)),"")</f>
        <v/>
      </c>
      <c r="D25" s="7">
        <f>IFERROR(IF(Справочник!$C$17="-",MIN($B$15:$B$18)/B17,D17/MAX($D$15:$D$18)),"")</f>
        <v/>
      </c>
      <c r="E25" s="7">
        <f>IFERROR(IF(Справочник!$C$18="-",MIN($E$15:$E$18)/G17,E17/MAX($G$15:$G$18)),"")</f>
        <v/>
      </c>
      <c r="F25" s="7">
        <f>IFERROR(IF(Справочник!$C$18="-",MIN($E$15:$E$18)/F17,F17/MAX($G$15:$G$18)),"")</f>
        <v/>
      </c>
      <c r="G25" s="7">
        <f>IFERROR(IF(Справочник!$C$18="-",MIN($E$15:$E$18)/E17,G17/MAX($G$15:$G$18)),"")</f>
        <v/>
      </c>
      <c r="H25" s="7">
        <f>IFERROR(IF(Справочник!$C$19="-",MIN($H$15:$H$18)/J17,H17/MAX($J$15:$J$18)),"")</f>
        <v/>
      </c>
      <c r="I25" s="7">
        <f>IFERROR(IF(Справочник!$C$19="-",MIN($H$15:$H$18)/I17,I17/MAX($J$15:$J$18)),"")</f>
        <v/>
      </c>
      <c r="J25" s="7">
        <f>IFERROR(IF(Справочник!$C$19="-",MIN($H$15:$H$18)/H17,J17/MAX($J$15:$J$18)),"")</f>
        <v/>
      </c>
      <c r="K25" s="7">
        <f>IFERROR(IF(Справочник!$C$20="-",MIN($K$15:$K$18)/M17,K17/MAX($M$15:$M$18)),"")</f>
        <v/>
      </c>
      <c r="L25" s="7">
        <f>IFERROR(IF(Справочник!$C$20="-",MIN($K$15:$K$18)/L17,L17/MAX($M$15:$M$18)),"")</f>
        <v/>
      </c>
      <c r="M25" s="7">
        <f>IFERROR(IF(Справочник!$C$20="-",MIN($K$15:$K$18)/K17,M17/MAX($M$15:$M$18)),"")</f>
        <v/>
      </c>
      <c r="N25" s="7">
        <f>IFERROR(IF(Справочник!$C$21="-",MIN($N$15:$N$18)/P17,N17/MAX($P$15:$P$18)),"")</f>
        <v/>
      </c>
      <c r="O25" s="7">
        <f>IFERROR(IF(Справочник!$C$21="-",MIN($N$15:$N$18)/O17,O17/MAX($P$15:$P$18)),"")</f>
        <v/>
      </c>
      <c r="P25" s="7">
        <f>IFERROR(IF(Справочник!$C$21="-",MIN($N$15:$N$18)/N17,P17/MAX($P$15:$P$18)),"")</f>
        <v/>
      </c>
    </row>
    <row r="26">
      <c r="A26" s="3">
        <f>Справочник!$B$13</f>
        <v/>
      </c>
      <c r="B26" s="7">
        <f>IFERROR(IF(Справочник!$C$17="-",MIN($B$15:$B$18)/D18,B18/MAX($D$15:$D$18)),"")</f>
        <v/>
      </c>
      <c r="C26" s="7">
        <f>IFERROR(IF(Справочник!$C$17="-",MIN($B$15:$B$18)/C18,C18/MAX($D$15:$D$18)),"")</f>
        <v/>
      </c>
      <c r="D26" s="7">
        <f>IFERROR(IF(Справочник!$C$17="-",MIN($B$15:$B$18)/B18,D18/MAX($D$15:$D$18)),"")</f>
        <v/>
      </c>
      <c r="E26" s="7">
        <f>IFERROR(IF(Справочник!$C$18="-",MIN($E$15:$E$18)/G18,E18/MAX($G$15:$G$18)),"")</f>
        <v/>
      </c>
      <c r="F26" s="7">
        <f>IFERROR(IF(Справочник!$C$18="-",MIN($E$15:$E$18)/F18,F18/MAX($G$15:$G$18)),"")</f>
        <v/>
      </c>
      <c r="G26" s="7">
        <f>IFERROR(IF(Справочник!$C$18="-",MIN($E$15:$E$18)/E18,G18/MAX($G$15:$G$18)),"")</f>
        <v/>
      </c>
      <c r="H26" s="7">
        <f>IFERROR(IF(Справочник!$C$19="-",MIN($H$15:$H$18)/J18,H18/MAX($J$15:$J$18)),"")</f>
        <v/>
      </c>
      <c r="I26" s="7">
        <f>IFERROR(IF(Справочник!$C$19="-",MIN($H$15:$H$18)/I18,I18/MAX($J$15:$J$18)),"")</f>
        <v/>
      </c>
      <c r="J26" s="7">
        <f>IFERROR(IF(Справочник!$C$19="-",MIN($H$15:$H$18)/H18,J18/MAX($J$15:$J$18)),"")</f>
        <v/>
      </c>
      <c r="K26" s="7">
        <f>IFERROR(IF(Справочник!$C$20="-",MIN($K$15:$K$18)/M18,K18/MAX($M$15:$M$18)),"")</f>
        <v/>
      </c>
      <c r="L26" s="7">
        <f>IFERROR(IF(Справочник!$C$20="-",MIN($K$15:$K$18)/L18,L18/MAX($M$15:$M$18)),"")</f>
        <v/>
      </c>
      <c r="M26" s="7">
        <f>IFERROR(IF(Справочник!$C$20="-",MIN($K$15:$K$18)/K18,M18/MAX($M$15:$M$18)),"")</f>
        <v/>
      </c>
      <c r="N26" s="7">
        <f>IFERROR(IF(Справочник!$C$21="-",MIN($N$15:$N$18)/P18,N18/MAX($P$15:$P$18)),"")</f>
        <v/>
      </c>
      <c r="O26" s="7">
        <f>IFERROR(IF(Справочник!$C$21="-",MIN($N$15:$N$18)/O18,O18/MAX($P$15:$P$18)),"")</f>
        <v/>
      </c>
      <c r="P26" s="7">
        <f>IFERROR(IF(Справочник!$C$21="-",MIN($N$15:$N$18)/N18,P18/MAX($P$15:$P$18)),"")</f>
        <v/>
      </c>
    </row>
    <row r="28">
      <c r="A28" s="2" t="inlineStr">
        <is>
          <t>4. Взвешенная нормализованная матрица (покомпонентно на нечеткий вес)</t>
        </is>
      </c>
    </row>
    <row r="29">
      <c r="A29" s="4" t="inlineStr">
        <is>
          <t>Альтернатива</t>
        </is>
      </c>
      <c r="B29" s="4">
        <f>Справочник!$B$17</f>
        <v/>
      </c>
      <c r="C29" s="12" t="n"/>
      <c r="D29" s="13" t="n"/>
      <c r="E29" s="4">
        <f>Справочник!$B$18</f>
        <v/>
      </c>
      <c r="F29" s="12" t="n"/>
      <c r="G29" s="13" t="n"/>
      <c r="H29" s="4">
        <f>Справочник!$B$19</f>
        <v/>
      </c>
      <c r="I29" s="12" t="n"/>
      <c r="J29" s="13" t="n"/>
      <c r="K29" s="4">
        <f>Справочник!$B$20</f>
        <v/>
      </c>
      <c r="L29" s="12" t="n"/>
      <c r="M29" s="13" t="n"/>
      <c r="N29" s="4">
        <f>Справочник!$B$21</f>
        <v/>
      </c>
      <c r="O29" s="12" t="n"/>
      <c r="P29" s="13" t="n"/>
    </row>
    <row r="30">
      <c r="A30" s="4" t="inlineStr"/>
      <c r="B30" s="4" t="inlineStr">
        <is>
          <t>l</t>
        </is>
      </c>
      <c r="C30" s="4" t="inlineStr">
        <is>
          <t>m</t>
        </is>
      </c>
      <c r="D30" s="4" t="inlineStr">
        <is>
          <t>u</t>
        </is>
      </c>
      <c r="E30" s="4" t="inlineStr">
        <is>
          <t>l</t>
        </is>
      </c>
      <c r="F30" s="4" t="inlineStr">
        <is>
          <t>m</t>
        </is>
      </c>
      <c r="G30" s="4" t="inlineStr">
        <is>
          <t>u</t>
        </is>
      </c>
      <c r="H30" s="4" t="inlineStr">
        <is>
          <t>l</t>
        </is>
      </c>
      <c r="I30" s="4" t="inlineStr">
        <is>
          <t>m</t>
        </is>
      </c>
      <c r="J30" s="4" t="inlineStr">
        <is>
          <t>u</t>
        </is>
      </c>
      <c r="K30" s="4" t="inlineStr">
        <is>
          <t>l</t>
        </is>
      </c>
      <c r="L30" s="4" t="inlineStr">
        <is>
          <t>m</t>
        </is>
      </c>
      <c r="M30" s="4" t="inlineStr">
        <is>
          <t>u</t>
        </is>
      </c>
      <c r="N30" s="4" t="inlineStr">
        <is>
          <t>l</t>
        </is>
      </c>
      <c r="O30" s="4" t="inlineStr">
        <is>
          <t>m</t>
        </is>
      </c>
      <c r="P30" s="4" t="inlineStr">
        <is>
          <t>u</t>
        </is>
      </c>
    </row>
    <row r="31">
      <c r="A31" s="3">
        <f>Справочник!$B$10</f>
        <v/>
      </c>
      <c r="B31" s="8">
        <f>IFERROR(B23*$E$6,"")</f>
        <v/>
      </c>
      <c r="C31" s="8">
        <f>IFERROR(C23*$F$6,"")</f>
        <v/>
      </c>
      <c r="D31" s="8">
        <f>IFERROR(D23*$G$6,"")</f>
        <v/>
      </c>
      <c r="E31" s="8">
        <f>IFERROR(E23*$E$7,"")</f>
        <v/>
      </c>
      <c r="F31" s="8">
        <f>IFERROR(F23*$F$7,"")</f>
        <v/>
      </c>
      <c r="G31" s="8">
        <f>IFERROR(G23*$G$7,"")</f>
        <v/>
      </c>
      <c r="H31" s="8">
        <f>IFERROR(H23*$E$8,"")</f>
        <v/>
      </c>
      <c r="I31" s="8">
        <f>IFERROR(I23*$F$8,"")</f>
        <v/>
      </c>
      <c r="J31" s="8">
        <f>IFERROR(J23*$G$8,"")</f>
        <v/>
      </c>
      <c r="K31" s="8">
        <f>IFERROR(K23*$E$9,"")</f>
        <v/>
      </c>
      <c r="L31" s="8">
        <f>IFERROR(L23*$F$9,"")</f>
        <v/>
      </c>
      <c r="M31" s="8">
        <f>IFERROR(M23*$G$9,"")</f>
        <v/>
      </c>
      <c r="N31" s="8">
        <f>IFERROR(N23*$E$10,"")</f>
        <v/>
      </c>
      <c r="O31" s="8">
        <f>IFERROR(O23*$F$10,"")</f>
        <v/>
      </c>
      <c r="P31" s="8">
        <f>IFERROR(P23*$G$10,"")</f>
        <v/>
      </c>
    </row>
    <row r="32">
      <c r="A32" s="3">
        <f>Справочник!$B$11</f>
        <v/>
      </c>
      <c r="B32" s="8">
        <f>IFERROR(B24*$E$6,"")</f>
        <v/>
      </c>
      <c r="C32" s="8">
        <f>IFERROR(C24*$F$6,"")</f>
        <v/>
      </c>
      <c r="D32" s="8">
        <f>IFERROR(D24*$G$6,"")</f>
        <v/>
      </c>
      <c r="E32" s="8">
        <f>IFERROR(E24*$E$7,"")</f>
        <v/>
      </c>
      <c r="F32" s="8">
        <f>IFERROR(F24*$F$7,"")</f>
        <v/>
      </c>
      <c r="G32" s="8">
        <f>IFERROR(G24*$G$7,"")</f>
        <v/>
      </c>
      <c r="H32" s="8">
        <f>IFERROR(H24*$E$8,"")</f>
        <v/>
      </c>
      <c r="I32" s="8">
        <f>IFERROR(I24*$F$8,"")</f>
        <v/>
      </c>
      <c r="J32" s="8">
        <f>IFERROR(J24*$G$8,"")</f>
        <v/>
      </c>
      <c r="K32" s="8">
        <f>IFERROR(K24*$E$9,"")</f>
        <v/>
      </c>
      <c r="L32" s="8">
        <f>IFERROR(L24*$F$9,"")</f>
        <v/>
      </c>
      <c r="M32" s="8">
        <f>IFERROR(M24*$G$9,"")</f>
        <v/>
      </c>
      <c r="N32" s="8">
        <f>IFERROR(N24*$E$10,"")</f>
        <v/>
      </c>
      <c r="O32" s="8">
        <f>IFERROR(O24*$F$10,"")</f>
        <v/>
      </c>
      <c r="P32" s="8">
        <f>IFERROR(P24*$G$10,"")</f>
        <v/>
      </c>
    </row>
    <row r="33">
      <c r="A33" s="3">
        <f>Справочник!$B$12</f>
        <v/>
      </c>
      <c r="B33" s="8">
        <f>IFERROR(B25*$E$6,"")</f>
        <v/>
      </c>
      <c r="C33" s="8">
        <f>IFERROR(C25*$F$6,"")</f>
        <v/>
      </c>
      <c r="D33" s="8">
        <f>IFERROR(D25*$G$6,"")</f>
        <v/>
      </c>
      <c r="E33" s="8">
        <f>IFERROR(E25*$E$7,"")</f>
        <v/>
      </c>
      <c r="F33" s="8">
        <f>IFERROR(F25*$F$7,"")</f>
        <v/>
      </c>
      <c r="G33" s="8">
        <f>IFERROR(G25*$G$7,"")</f>
        <v/>
      </c>
      <c r="H33" s="8">
        <f>IFERROR(H25*$E$8,"")</f>
        <v/>
      </c>
      <c r="I33" s="8">
        <f>IFERROR(I25*$F$8,"")</f>
        <v/>
      </c>
      <c r="J33" s="8">
        <f>IFERROR(J25*$G$8,"")</f>
        <v/>
      </c>
      <c r="K33" s="8">
        <f>IFERROR(K25*$E$9,"")</f>
        <v/>
      </c>
      <c r="L33" s="8">
        <f>IFERROR(L25*$F$9,"")</f>
        <v/>
      </c>
      <c r="M33" s="8">
        <f>IFERROR(M25*$G$9,"")</f>
        <v/>
      </c>
      <c r="N33" s="8">
        <f>IFERROR(N25*$E$10,"")</f>
        <v/>
      </c>
      <c r="O33" s="8">
        <f>IFERROR(O25*$F$10,"")</f>
        <v/>
      </c>
      <c r="P33" s="8">
        <f>IFERROR(P25*$G$10,"")</f>
        <v/>
      </c>
    </row>
    <row r="34">
      <c r="A34" s="3">
        <f>Справочник!$B$13</f>
        <v/>
      </c>
      <c r="B34" s="8">
        <f>IFERROR(B26*$E$6,"")</f>
        <v/>
      </c>
      <c r="C34" s="8">
        <f>IFERROR(C26*$F$6,"")</f>
        <v/>
      </c>
      <c r="D34" s="8">
        <f>IFERROR(D26*$G$6,"")</f>
        <v/>
      </c>
      <c r="E34" s="8">
        <f>IFERROR(E26*$E$7,"")</f>
        <v/>
      </c>
      <c r="F34" s="8">
        <f>IFERROR(F26*$F$7,"")</f>
        <v/>
      </c>
      <c r="G34" s="8">
        <f>IFERROR(G26*$G$7,"")</f>
        <v/>
      </c>
      <c r="H34" s="8">
        <f>IFERROR(H26*$E$8,"")</f>
        <v/>
      </c>
      <c r="I34" s="8">
        <f>IFERROR(I26*$F$8,"")</f>
        <v/>
      </c>
      <c r="J34" s="8">
        <f>IFERROR(J26*$G$8,"")</f>
        <v/>
      </c>
      <c r="K34" s="8">
        <f>IFERROR(K26*$E$9,"")</f>
        <v/>
      </c>
      <c r="L34" s="8">
        <f>IFERROR(L26*$F$9,"")</f>
        <v/>
      </c>
      <c r="M34" s="8">
        <f>IFERROR(M26*$G$9,"")</f>
        <v/>
      </c>
      <c r="N34" s="8">
        <f>IFERROR(N26*$E$10,"")</f>
        <v/>
      </c>
      <c r="O34" s="8">
        <f>IFERROR(O26*$F$10,"")</f>
        <v/>
      </c>
      <c r="P34" s="8">
        <f>IFERROR(P26*$G$10,"")</f>
        <v/>
      </c>
    </row>
    <row r="36">
      <c r="A36" s="2" t="inlineStr">
        <is>
          <t>5. Идеальные решения: A+ = max u по критерию, A- = min l по критерию</t>
        </is>
      </c>
    </row>
    <row r="37">
      <c r="A37" s="4" t="inlineStr">
        <is>
          <t>Критерий</t>
        </is>
      </c>
      <c r="B37" s="4">
        <f>Справочник!$B$17</f>
        <v/>
      </c>
      <c r="C37" s="4">
        <f>Справочник!$B$18</f>
        <v/>
      </c>
      <c r="D37" s="4">
        <f>Справочник!$B$19</f>
        <v/>
      </c>
      <c r="E37" s="4">
        <f>Справочник!$B$20</f>
        <v/>
      </c>
      <c r="F37" s="4">
        <f>Справочник!$B$21</f>
        <v/>
      </c>
    </row>
    <row r="38">
      <c r="A38" s="9" t="inlineStr">
        <is>
          <t>A+</t>
        </is>
      </c>
      <c r="B38" s="8">
        <f>IF(COUNT(D31:D34)&lt;4,"",MAX(D31:D34))</f>
        <v/>
      </c>
      <c r="C38" s="8">
        <f>IF(COUNT(G31:G34)&lt;4,"",MAX(G31:G34))</f>
        <v/>
      </c>
      <c r="D38" s="8">
        <f>IF(COUNT(J31:J34)&lt;4,"",MAX(J31:J34))</f>
        <v/>
      </c>
      <c r="E38" s="8">
        <f>IF(COUNT(M31:M34)&lt;4,"",MAX(M31:M34))</f>
        <v/>
      </c>
      <c r="F38" s="8">
        <f>IF(COUNT(P31:P34)&lt;4,"",MAX(P31:P34))</f>
        <v/>
      </c>
    </row>
    <row r="39">
      <c r="A39" s="9" t="inlineStr">
        <is>
          <t>A-</t>
        </is>
      </c>
      <c r="B39" s="8">
        <f>IF(COUNT(B31:B34)&lt;4,"",MIN(B31:B34))</f>
        <v/>
      </c>
      <c r="C39" s="8">
        <f>IF(COUNT(E31:E34)&lt;4,"",MIN(E31:E34))</f>
        <v/>
      </c>
      <c r="D39" s="8">
        <f>IF(COUNT(H31:H34)&lt;4,"",MIN(H31:H34))</f>
        <v/>
      </c>
      <c r="E39" s="8">
        <f>IF(COUNT(K31:K34)&lt;4,"",MIN(K31:K34))</f>
        <v/>
      </c>
      <c r="F39" s="8">
        <f>IF(COUNT(N31:N34)&lt;4,"",MIN(N31:N34))</f>
        <v/>
      </c>
    </row>
    <row r="41">
      <c r="A41" s="2" t="inlineStr">
        <is>
          <t>6. Расстояния и коэффициент относительной близости CC = d- / (d+ + d-)</t>
        </is>
      </c>
    </row>
    <row r="42">
      <c r="A42" s="4" t="inlineStr">
        <is>
          <t>Альтернатива</t>
        </is>
      </c>
      <c r="B42" s="4" t="inlineStr">
        <is>
          <t>d+</t>
        </is>
      </c>
      <c r="C42" s="4" t="inlineStr">
        <is>
          <t>d-</t>
        </is>
      </c>
      <c r="D42" s="4" t="inlineStr">
        <is>
          <t>CC</t>
        </is>
      </c>
      <c r="E42" s="4" t="inlineStr">
        <is>
          <t>Ранг</t>
        </is>
      </c>
    </row>
    <row r="43">
      <c r="A43" s="3">
        <f>Справочник!$B$10</f>
        <v/>
      </c>
      <c r="B43" s="8">
        <f>IFERROR(SQRT(((B31-$B$38)^2+(C31-$B$38)^2+(D31-$B$38)^2)/3)+SQRT(((E31-$C$38)^2+(F31-$C$38)^2+(G31-$C$38)^2)/3)+SQRT(((H31-$D$38)^2+(I31-$D$38)^2+(J31-$D$38)^2)/3)+SQRT(((K31-$E$38)^2+(L31-$E$38)^2+(M31-$E$38)^2)/3)+SQRT(((N31-$F$38)^2+(O31-$F$38)^2+(P31-$F$38)^2)/3),"")</f>
        <v/>
      </c>
      <c r="C43" s="8">
        <f>IFERROR(SQRT(((B31-$B$39)^2+(C31-$B$39)^2+(D31-$B$39)^2)/3)+SQRT(((E31-$C$39)^2+(F31-$C$39)^2+(G31-$C$39)^2)/3)+SQRT(((H31-$D$39)^2+(I31-$D$39)^2+(J31-$D$39)^2)/3)+SQRT(((K31-$E$39)^2+(L31-$E$39)^2+(M31-$E$39)^2)/3)+SQRT(((N31-$F$39)^2+(O31-$F$39)^2+(P31-$F$39)^2)/3),"")</f>
        <v/>
      </c>
      <c r="D43" s="10">
        <f>IFERROR(C43/(B43+C43),"")</f>
        <v/>
      </c>
      <c r="E43" s="11">
        <f>IFERROR(RANK(D43,$D$43:$D$46,0),"")</f>
        <v/>
      </c>
    </row>
    <row r="44">
      <c r="A44" s="3">
        <f>Справочник!$B$11</f>
        <v/>
      </c>
      <c r="B44" s="8">
        <f>IFERROR(SQRT(((B32-$B$38)^2+(C32-$B$38)^2+(D32-$B$38)^2)/3)+SQRT(((E32-$C$38)^2+(F32-$C$38)^2+(G32-$C$38)^2)/3)+SQRT(((H32-$D$38)^2+(I32-$D$38)^2+(J32-$D$38)^2)/3)+SQRT(((K32-$E$38)^2+(L32-$E$38)^2+(M32-$E$38)^2)/3)+SQRT(((N32-$F$38)^2+(O32-$F$38)^2+(P32-$F$38)^2)/3),"")</f>
        <v/>
      </c>
      <c r="C44" s="8">
        <f>IFERROR(SQRT(((B32-$B$39)^2+(C32-$B$39)^2+(D32-$B$39)^2)/3)+SQRT(((E32-$C$39)^2+(F32-$C$39)^2+(G32-$C$39)^2)/3)+SQRT(((H32-$D$39)^2+(I32-$D$39)^2+(J32-$D$39)^2)/3)+SQRT(((K32-$E$39)^2+(L32-$E$39)^2+(M32-$E$39)^2)/3)+SQRT(((N32-$F$39)^2+(O32-$F$39)^2+(P32-$F$39)^2)/3),"")</f>
        <v/>
      </c>
      <c r="D44" s="10">
        <f>IFERROR(C44/(B44+C44),"")</f>
        <v/>
      </c>
      <c r="E44" s="11">
        <f>IFERROR(RANK(D44,$D$43:$D$46,0),"")</f>
        <v/>
      </c>
    </row>
    <row r="45">
      <c r="A45" s="3">
        <f>Справочник!$B$12</f>
        <v/>
      </c>
      <c r="B45" s="8">
        <f>IFERROR(SQRT(((B33-$B$38)^2+(C33-$B$38)^2+(D33-$B$38)^2)/3)+SQRT(((E33-$C$38)^2+(F33-$C$38)^2+(G33-$C$38)^2)/3)+SQRT(((H33-$D$38)^2+(I33-$D$38)^2+(J33-$D$38)^2)/3)+SQRT(((K33-$E$38)^2+(L33-$E$38)^2+(M33-$E$38)^2)/3)+SQRT(((N33-$F$38)^2+(O33-$F$38)^2+(P33-$F$38)^2)/3),"")</f>
        <v/>
      </c>
      <c r="C45" s="8">
        <f>IFERROR(SQRT(((B33-$B$39)^2+(C33-$B$39)^2+(D33-$B$39)^2)/3)+SQRT(((E33-$C$39)^2+(F33-$C$39)^2+(G33-$C$39)^2)/3)+SQRT(((H33-$D$39)^2+(I33-$D$39)^2+(J33-$D$39)^2)/3)+SQRT(((K33-$E$39)^2+(L33-$E$39)^2+(M33-$E$39)^2)/3)+SQRT(((N33-$F$39)^2+(O33-$F$39)^2+(P33-$F$39)^2)/3),"")</f>
        <v/>
      </c>
      <c r="D45" s="10">
        <f>IFERROR(C45/(B45+C45),"")</f>
        <v/>
      </c>
      <c r="E45" s="11">
        <f>IFERROR(RANK(D45,$D$43:$D$46,0),"")</f>
        <v/>
      </c>
    </row>
    <row r="46">
      <c r="A46" s="3">
        <f>Справочник!$B$13</f>
        <v/>
      </c>
      <c r="B46" s="8">
        <f>IFERROR(SQRT(((B34-$B$38)^2+(C34-$B$38)^2+(D34-$B$38)^2)/3)+SQRT(((E34-$C$38)^2+(F34-$C$38)^2+(G34-$C$38)^2)/3)+SQRT(((H34-$D$38)^2+(I34-$D$38)^2+(J34-$D$38)^2)/3)+SQRT(((K34-$E$38)^2+(L34-$E$38)^2+(M34-$E$38)^2)/3)+SQRT(((N34-$F$38)^2+(O34-$F$38)^2+(P34-$F$38)^2)/3),"")</f>
        <v/>
      </c>
      <c r="C46" s="8">
        <f>IFERROR(SQRT(((B34-$B$39)^2+(C34-$B$39)^2+(D34-$B$39)^2)/3)+SQRT(((E34-$C$39)^2+(F34-$C$39)^2+(G34-$C$39)^2)/3)+SQRT(((H34-$D$39)^2+(I34-$D$39)^2+(J34-$D$39)^2)/3)+SQRT(((K34-$E$39)^2+(L34-$E$39)^2+(M34-$E$39)^2)/3)+SQRT(((N34-$F$39)^2+(O34-$F$39)^2+(P34-$F$39)^2)/3),"")</f>
        <v/>
      </c>
      <c r="D46" s="10">
        <f>IFERROR(C46/(B46+C46),"")</f>
        <v/>
      </c>
      <c r="E46" s="11">
        <f>IFERROR(RANK(D46,$D$43:$D$46,0),"")</f>
        <v/>
      </c>
    </row>
  </sheetData>
  <mergeCells count="15">
    <mergeCell ref="N29:P29"/>
    <mergeCell ref="E13:G13"/>
    <mergeCell ref="K13:M13"/>
    <mergeCell ref="H13:J13"/>
    <mergeCell ref="N13:P13"/>
    <mergeCell ref="K21:M21"/>
    <mergeCell ref="B13:D13"/>
    <mergeCell ref="B21:D21"/>
    <mergeCell ref="E21:G21"/>
    <mergeCell ref="B29:D29"/>
    <mergeCell ref="E29:G29"/>
    <mergeCell ref="K29:M29"/>
    <mergeCell ref="H29:J29"/>
    <mergeCell ref="H21:J21"/>
    <mergeCell ref="N21:P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2026-10-13T09:18:57Z</dcterms:created>
  <dcterms:modified xmlns:dcterms="http://purl.org/dc/terms/" xmlns:xsi="http://www.w3.org/2001/XMLSchema-instance" xsi:type="dcterms:W3CDTF">2026-10-13T09:20:47Z</dcterms:modified>
</cp:coreProperties>
</file>